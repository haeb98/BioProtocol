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aeb/Workspaces/BioProtocol/report/"/>
    </mc:Choice>
  </mc:AlternateContent>
  <xr:revisionPtr revIDLastSave="0" documentId="13_ncr:1_{840771C3-089B-C643-A6AF-2823881FCD7E}" xr6:coauthVersionLast="47" xr6:coauthVersionMax="47" xr10:uidLastSave="{00000000-0000-0000-0000-000000000000}"/>
  <bookViews>
    <workbookView xWindow="-34740" yWindow="-4360" windowWidth="28100" windowHeight="17380" xr2:uid="{95AC5CD3-31B3-F14C-98F9-2ABE9FE96B99}"/>
  </bookViews>
  <sheets>
    <sheet name="eval_step_structurer_v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52" i="1" l="1"/>
  <c r="Q51" i="1"/>
  <c r="C52" i="1"/>
  <c r="D52" i="1"/>
  <c r="E52" i="1"/>
  <c r="F52" i="1"/>
  <c r="G52" i="1"/>
  <c r="H52" i="1"/>
  <c r="I52" i="1"/>
  <c r="J52" i="1"/>
  <c r="K52" i="1"/>
  <c r="L52" i="1"/>
  <c r="M52" i="1"/>
  <c r="N52" i="1"/>
  <c r="O52" i="1"/>
  <c r="P52" i="1"/>
  <c r="B52" i="1"/>
  <c r="L51" i="1"/>
  <c r="M51" i="1"/>
  <c r="N51" i="1"/>
  <c r="O51" i="1"/>
  <c r="P51" i="1"/>
  <c r="C51" i="1"/>
  <c r="D51" i="1"/>
  <c r="E51" i="1"/>
  <c r="F51" i="1"/>
  <c r="G51" i="1"/>
  <c r="H51" i="1"/>
  <c r="I51" i="1"/>
  <c r="J51" i="1"/>
  <c r="K51" i="1"/>
  <c r="B51" i="1"/>
  <c r="Q31" i="1"/>
  <c r="Q3" i="1"/>
  <c r="Q4" i="1"/>
  <c r="Q5" i="1"/>
  <c r="Q32" i="1"/>
  <c r="Q33" i="1"/>
  <c r="Q34" i="1"/>
  <c r="Q6" i="1"/>
  <c r="Q7" i="1"/>
  <c r="Q8" i="1"/>
  <c r="Q9" i="1"/>
  <c r="Q35" i="1"/>
  <c r="Q10" i="1"/>
  <c r="Q36" i="1"/>
  <c r="Q11" i="1"/>
  <c r="Q37" i="1"/>
  <c r="Q12" i="1"/>
  <c r="Q13" i="1"/>
  <c r="Q38" i="1"/>
  <c r="Q39" i="1"/>
  <c r="Q40" i="1"/>
  <c r="Q14" i="1"/>
  <c r="Q15" i="1"/>
  <c r="Q41" i="1"/>
  <c r="Q42" i="1"/>
  <c r="Q16" i="1"/>
  <c r="Q17" i="1"/>
  <c r="Q18" i="1"/>
  <c r="Q19" i="1"/>
  <c r="Q20" i="1"/>
  <c r="Q21" i="1"/>
  <c r="Q22" i="1"/>
  <c r="Q23" i="1"/>
  <c r="Q43" i="1"/>
  <c r="Q24" i="1"/>
  <c r="Q44" i="1"/>
  <c r="Q45" i="1"/>
  <c r="Q25" i="1"/>
  <c r="Q46" i="1"/>
  <c r="Q26" i="1"/>
  <c r="Q27" i="1"/>
  <c r="Q28" i="1"/>
  <c r="Q47" i="1"/>
  <c r="Q29" i="1"/>
  <c r="Q30" i="1"/>
  <c r="Q2" i="1"/>
  <c r="O50" i="1"/>
  <c r="O49" i="1"/>
  <c r="O48" i="1"/>
  <c r="M49" i="1"/>
  <c r="N31" i="1"/>
  <c r="N3" i="1"/>
  <c r="N4" i="1"/>
  <c r="N5" i="1"/>
  <c r="N32" i="1"/>
  <c r="N33" i="1"/>
  <c r="N34" i="1"/>
  <c r="N6" i="1"/>
  <c r="N7" i="1"/>
  <c r="N8" i="1"/>
  <c r="N9" i="1"/>
  <c r="N35" i="1"/>
  <c r="N10" i="1"/>
  <c r="N36" i="1"/>
  <c r="N11" i="1"/>
  <c r="N37" i="1"/>
  <c r="N12" i="1"/>
  <c r="N13" i="1"/>
  <c r="N38" i="1"/>
  <c r="N39" i="1"/>
  <c r="N40" i="1"/>
  <c r="N14" i="1"/>
  <c r="N15" i="1"/>
  <c r="N41" i="1"/>
  <c r="N42" i="1"/>
  <c r="N16" i="1"/>
  <c r="N17" i="1"/>
  <c r="N18" i="1"/>
  <c r="N19" i="1"/>
  <c r="N20" i="1"/>
  <c r="N21" i="1"/>
  <c r="N22" i="1"/>
  <c r="N23" i="1"/>
  <c r="N43" i="1"/>
  <c r="N24" i="1"/>
  <c r="N44" i="1"/>
  <c r="N45" i="1"/>
  <c r="N25" i="1"/>
  <c r="N46" i="1"/>
  <c r="N26" i="1"/>
  <c r="N27" i="1"/>
  <c r="N28" i="1"/>
  <c r="N47" i="1"/>
  <c r="N29" i="1"/>
  <c r="N30" i="1"/>
  <c r="N2" i="1"/>
  <c r="N50" i="1" s="1"/>
  <c r="M31" i="1"/>
  <c r="M3" i="1"/>
  <c r="M4" i="1"/>
  <c r="M5" i="1"/>
  <c r="M32" i="1"/>
  <c r="M33" i="1"/>
  <c r="M34" i="1"/>
  <c r="M6" i="1"/>
  <c r="M7" i="1"/>
  <c r="M50" i="1" s="1"/>
  <c r="M8" i="1"/>
  <c r="M9" i="1"/>
  <c r="M35" i="1"/>
  <c r="M10" i="1"/>
  <c r="M36" i="1"/>
  <c r="M11" i="1"/>
  <c r="M37" i="1"/>
  <c r="M12" i="1"/>
  <c r="M13" i="1"/>
  <c r="M38" i="1"/>
  <c r="M39" i="1"/>
  <c r="M40" i="1"/>
  <c r="M14" i="1"/>
  <c r="M15" i="1"/>
  <c r="M41" i="1"/>
  <c r="M16" i="1"/>
  <c r="M17" i="1"/>
  <c r="M18" i="1"/>
  <c r="M19" i="1"/>
  <c r="M20" i="1"/>
  <c r="M21" i="1"/>
  <c r="M22" i="1"/>
  <c r="M23" i="1"/>
  <c r="M43" i="1"/>
  <c r="M24" i="1"/>
  <c r="M44" i="1"/>
  <c r="M45" i="1"/>
  <c r="M25" i="1"/>
  <c r="M46" i="1"/>
  <c r="M26" i="1"/>
  <c r="M27" i="1"/>
  <c r="M28" i="1"/>
  <c r="M47" i="1"/>
  <c r="M29" i="1"/>
  <c r="M30" i="1"/>
  <c r="M2" i="1"/>
  <c r="M48" i="1" s="1"/>
  <c r="E48" i="1"/>
  <c r="C50" i="1"/>
  <c r="D50" i="1"/>
  <c r="E50" i="1"/>
  <c r="F50" i="1"/>
  <c r="G50" i="1"/>
  <c r="H50" i="1"/>
  <c r="I50" i="1"/>
  <c r="J50" i="1"/>
  <c r="K50" i="1"/>
  <c r="L50" i="1"/>
  <c r="B50" i="1"/>
  <c r="C49" i="1"/>
  <c r="D49" i="1"/>
  <c r="E49" i="1"/>
  <c r="F49" i="1"/>
  <c r="G49" i="1"/>
  <c r="H49" i="1"/>
  <c r="I49" i="1"/>
  <c r="J49" i="1"/>
  <c r="K49" i="1"/>
  <c r="L49" i="1"/>
  <c r="B49" i="1"/>
  <c r="C48" i="1"/>
  <c r="D48" i="1"/>
  <c r="F48" i="1"/>
  <c r="G48" i="1"/>
  <c r="H48" i="1"/>
  <c r="I48" i="1"/>
  <c r="J48" i="1"/>
  <c r="K48" i="1"/>
  <c r="L48" i="1"/>
  <c r="B48" i="1"/>
  <c r="N48" i="1" l="1"/>
  <c r="N49" i="1"/>
</calcChain>
</file>

<file path=xl/sharedStrings.xml><?xml version="1.0" encoding="utf-8"?>
<sst xmlns="http://schemas.openxmlformats.org/spreadsheetml/2006/main" count="83" uniqueCount="66">
  <si>
    <t>protocol_id</t>
  </si>
  <si>
    <t>num_gold</t>
  </si>
  <si>
    <t>num_pred</t>
  </si>
  <si>
    <t>matched</t>
  </si>
  <si>
    <t>precision</t>
  </si>
  <si>
    <t>recall</t>
  </si>
  <si>
    <t>f1</t>
  </si>
  <si>
    <t>order_score</t>
  </si>
  <si>
    <t>param_count</t>
  </si>
  <si>
    <t>param_covered</t>
  </si>
  <si>
    <t>material_count</t>
  </si>
  <si>
    <t>material_covered</t>
  </si>
  <si>
    <t>Bio-protocol-2096</t>
  </si>
  <si>
    <t>Bio-protocol-972</t>
  </si>
  <si>
    <t>Bio-protocol-3144</t>
  </si>
  <si>
    <t>Bio-protocol-2602</t>
  </si>
  <si>
    <t>Bio-protocol-1250</t>
  </si>
  <si>
    <t>Bio-protocol-1111</t>
  </si>
  <si>
    <t>Bio-protocol-3607</t>
  </si>
  <si>
    <t>Bio-protocol-2617</t>
  </si>
  <si>
    <t>Bio-protocol-3356</t>
  </si>
  <si>
    <t>Bio-protocol-3026</t>
  </si>
  <si>
    <t>Bio-protocol-832</t>
  </si>
  <si>
    <t>Bio-protocol-1437</t>
  </si>
  <si>
    <t>Bio-protocol-3584</t>
  </si>
  <si>
    <t>Bio-protocol-3965</t>
  </si>
  <si>
    <t>Bio-protocol-2974</t>
  </si>
  <si>
    <t>Bio-protocol-3921</t>
  </si>
  <si>
    <t>Bio-protocol-1836</t>
  </si>
  <si>
    <t>Bio-protocol-2350</t>
  </si>
  <si>
    <t>Bio-protocol-1611</t>
  </si>
  <si>
    <t>Bio-protocol-1373</t>
  </si>
  <si>
    <t>Bio-protocol-3617</t>
  </si>
  <si>
    <t>Bio-protocol-851</t>
  </si>
  <si>
    <t>Bio-protocol-3758</t>
  </si>
  <si>
    <t>Bio-protocol-1537</t>
  </si>
  <si>
    <t>Bio-protocol-2517</t>
  </si>
  <si>
    <t>Bio-protocol-881</t>
  </si>
  <si>
    <t>Bio-protocol-3816</t>
  </si>
  <si>
    <t>Bio-protocol-3504</t>
  </si>
  <si>
    <t>Bio-protocol-3032</t>
  </si>
  <si>
    <t>Bio-protocol-1542</t>
  </si>
  <si>
    <t>Bio-protocol-2443</t>
  </si>
  <si>
    <t>Bio-protocol-2742</t>
  </si>
  <si>
    <t>Bio-protocol-2001</t>
  </si>
  <si>
    <t>Bio-protocol-2548</t>
  </si>
  <si>
    <t>Bio-protocol-2519</t>
  </si>
  <si>
    <t>Bio-protocol-2302</t>
  </si>
  <si>
    <t>Bio-protocol-1784</t>
  </si>
  <si>
    <t>Bio-protocol-1213</t>
  </si>
  <si>
    <t>Bio-protocol-2600</t>
  </si>
  <si>
    <t>Bio-protocol-2219</t>
  </si>
  <si>
    <t>Bio-protocol-2332</t>
  </si>
  <si>
    <t>Bio-protocol-1716</t>
  </si>
  <si>
    <t>Bio-protocol-1010</t>
  </si>
  <si>
    <t>Bio-protocol-1174</t>
  </si>
  <si>
    <t>Bio-protocol-611</t>
  </si>
  <si>
    <t>Bio-protocol-1861</t>
  </si>
  <si>
    <t>평균</t>
    <phoneticPr fontId="18" type="noConversion"/>
  </si>
  <si>
    <t>최고</t>
    <phoneticPr fontId="18" type="noConversion"/>
  </si>
  <si>
    <t>최저</t>
    <phoneticPr fontId="18" type="noConversion"/>
  </si>
  <si>
    <t>param_coverage</t>
    <phoneticPr fontId="18" type="noConversion"/>
  </si>
  <si>
    <t>material_cov</t>
    <phoneticPr fontId="18" type="noConversion"/>
  </si>
  <si>
    <t>hallucination_rate</t>
  </si>
  <si>
    <t>direct_f1</t>
    <phoneticPr fontId="18" type="noConversion"/>
  </si>
  <si>
    <t>agent_better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</si>
</sst>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2"/>
      <color theme="1"/>
      <name val="맑은 고딕"/>
      <family val="2"/>
      <charset val="129"/>
      <scheme val="minor"/>
    </font>
    <font>
      <sz val="12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2"/>
      <color rgb="FF006100"/>
      <name val="맑은 고딕"/>
      <family val="2"/>
      <charset val="129"/>
      <scheme val="minor"/>
    </font>
    <font>
      <sz val="12"/>
      <color rgb="FF9C0006"/>
      <name val="맑은 고딕"/>
      <family val="2"/>
      <charset val="129"/>
      <scheme val="minor"/>
    </font>
    <font>
      <sz val="12"/>
      <color rgb="FF9C5700"/>
      <name val="맑은 고딕"/>
      <family val="2"/>
      <charset val="129"/>
      <scheme val="minor"/>
    </font>
    <font>
      <sz val="12"/>
      <color rgb="FF3F3F76"/>
      <name val="맑은 고딕"/>
      <family val="2"/>
      <charset val="129"/>
      <scheme val="minor"/>
    </font>
    <font>
      <b/>
      <sz val="12"/>
      <color rgb="FF3F3F3F"/>
      <name val="맑은 고딕"/>
      <family val="2"/>
      <charset val="129"/>
      <scheme val="minor"/>
    </font>
    <font>
      <b/>
      <sz val="12"/>
      <color rgb="FFFA7D00"/>
      <name val="맑은 고딕"/>
      <family val="2"/>
      <charset val="129"/>
      <scheme val="minor"/>
    </font>
    <font>
      <sz val="12"/>
      <color rgb="FFFA7D00"/>
      <name val="맑은 고딕"/>
      <family val="2"/>
      <charset val="129"/>
      <scheme val="minor"/>
    </font>
    <font>
      <b/>
      <sz val="12"/>
      <color theme="0"/>
      <name val="맑은 고딕"/>
      <family val="2"/>
      <charset val="129"/>
      <scheme val="minor"/>
    </font>
    <font>
      <sz val="12"/>
      <color rgb="FFFF0000"/>
      <name val="맑은 고딕"/>
      <family val="2"/>
      <charset val="129"/>
      <scheme val="minor"/>
    </font>
    <font>
      <i/>
      <sz val="12"/>
      <color rgb="FF7F7F7F"/>
      <name val="맑은 고딕"/>
      <family val="2"/>
      <charset val="129"/>
      <scheme val="minor"/>
    </font>
    <font>
      <b/>
      <sz val="12"/>
      <color theme="1"/>
      <name val="맑은 고딕"/>
      <family val="2"/>
      <charset val="129"/>
      <scheme val="minor"/>
    </font>
    <font>
      <sz val="12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20" fillId="0" borderId="0" xfId="0" applyFont="1">
      <alignment vertical="center"/>
    </xf>
    <xf numFmtId="0" fontId="19" fillId="0" borderId="0" xfId="0" applyFont="1">
      <alignment vertical="center"/>
    </xf>
    <xf numFmtId="0" fontId="0" fillId="33" borderId="0" xfId="0" applyFill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EA8F0E-66AA-584E-ABB2-84CF8F8BC14B}">
  <dimension ref="A1:Q73"/>
  <sheetViews>
    <sheetView tabSelected="1" workbookViewId="0">
      <pane ySplit="1" topLeftCell="A31" activePane="bottomLeft" state="frozen"/>
      <selection pane="bottomLeft" activeCell="Q53" sqref="Q53"/>
    </sheetView>
  </sheetViews>
  <sheetFormatPr baseColWidth="10" defaultRowHeight="18"/>
  <cols>
    <col min="1" max="1" width="18.7109375" customWidth="1"/>
    <col min="8" max="14" width="10.7109375" customWidth="1"/>
    <col min="15" max="15" width="0.140625" customWidth="1"/>
  </cols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61</v>
      </c>
      <c r="N1" t="s">
        <v>62</v>
      </c>
      <c r="O1" s="1" t="s">
        <v>63</v>
      </c>
      <c r="P1" s="1" t="s">
        <v>64</v>
      </c>
      <c r="Q1" t="s">
        <v>65</v>
      </c>
    </row>
    <row r="2" spans="1:17">
      <c r="A2" t="s">
        <v>12</v>
      </c>
      <c r="B2">
        <v>33</v>
      </c>
      <c r="C2">
        <v>60</v>
      </c>
      <c r="D2">
        <v>33</v>
      </c>
      <c r="E2">
        <v>0.55000000000000004</v>
      </c>
      <c r="F2">
        <v>1</v>
      </c>
      <c r="G2">
        <v>0.71</v>
      </c>
      <c r="H2">
        <v>0.29599999999999999</v>
      </c>
      <c r="I2">
        <v>66</v>
      </c>
      <c r="J2">
        <v>2</v>
      </c>
      <c r="K2">
        <v>54</v>
      </c>
      <c r="L2">
        <v>4</v>
      </c>
      <c r="M2">
        <f>J2/I2</f>
        <v>3.0303030303030304E-2</v>
      </c>
      <c r="N2">
        <f>L2/K2</f>
        <v>7.407407407407407E-2</v>
      </c>
      <c r="O2" s="2">
        <v>0.5</v>
      </c>
      <c r="P2" s="2">
        <v>0.98499999999999999</v>
      </c>
      <c r="Q2" t="b">
        <f>(P2&lt;G2)</f>
        <v>0</v>
      </c>
    </row>
    <row r="3" spans="1:17">
      <c r="A3" t="s">
        <v>14</v>
      </c>
      <c r="B3">
        <v>15</v>
      </c>
      <c r="C3">
        <v>67</v>
      </c>
      <c r="D3">
        <v>15</v>
      </c>
      <c r="E3">
        <v>0.224</v>
      </c>
      <c r="F3">
        <v>1</v>
      </c>
      <c r="G3">
        <v>0.36599999999999999</v>
      </c>
      <c r="H3">
        <v>0.89300000000000002</v>
      </c>
      <c r="I3">
        <v>14</v>
      </c>
      <c r="J3">
        <v>3</v>
      </c>
      <c r="K3">
        <v>27</v>
      </c>
      <c r="L3">
        <v>2</v>
      </c>
      <c r="M3">
        <f>J3/I3</f>
        <v>0.21428571428571427</v>
      </c>
      <c r="N3">
        <f>L3/K3</f>
        <v>7.407407407407407E-2</v>
      </c>
      <c r="O3" s="2">
        <v>0.41789999999999999</v>
      </c>
      <c r="P3" s="2">
        <v>0.55600000000000005</v>
      </c>
      <c r="Q3" t="b">
        <f>(P3&lt;G3)</f>
        <v>0</v>
      </c>
    </row>
    <row r="4" spans="1:17">
      <c r="A4" t="s">
        <v>15</v>
      </c>
      <c r="B4">
        <v>20</v>
      </c>
      <c r="C4">
        <v>56</v>
      </c>
      <c r="D4">
        <v>20</v>
      </c>
      <c r="E4">
        <v>0.35699999999999998</v>
      </c>
      <c r="F4">
        <v>1</v>
      </c>
      <c r="G4">
        <v>0.52600000000000002</v>
      </c>
      <c r="H4">
        <v>0.47399999999999998</v>
      </c>
      <c r="I4">
        <v>32</v>
      </c>
      <c r="J4">
        <v>1</v>
      </c>
      <c r="K4">
        <v>31</v>
      </c>
      <c r="L4">
        <v>5</v>
      </c>
      <c r="M4">
        <f>J4/I4</f>
        <v>3.125E-2</v>
      </c>
      <c r="N4">
        <f>L4/K4</f>
        <v>0.16129032258064516</v>
      </c>
      <c r="O4" s="2">
        <v>0.71430000000000005</v>
      </c>
      <c r="P4" s="2">
        <v>0.76900000000000002</v>
      </c>
      <c r="Q4" t="b">
        <f>(P4&lt;G4)</f>
        <v>0</v>
      </c>
    </row>
    <row r="5" spans="1:17">
      <c r="A5" t="s">
        <v>16</v>
      </c>
      <c r="B5">
        <v>38</v>
      </c>
      <c r="C5">
        <v>61</v>
      </c>
      <c r="D5">
        <v>38</v>
      </c>
      <c r="E5">
        <v>0.623</v>
      </c>
      <c r="F5">
        <v>1</v>
      </c>
      <c r="G5">
        <v>0.76800000000000002</v>
      </c>
      <c r="H5">
        <v>0.495</v>
      </c>
      <c r="I5">
        <v>52</v>
      </c>
      <c r="J5">
        <v>1</v>
      </c>
      <c r="K5">
        <v>64</v>
      </c>
      <c r="L5">
        <v>7</v>
      </c>
      <c r="M5">
        <f>J5/I5</f>
        <v>1.9230769230769232E-2</v>
      </c>
      <c r="N5">
        <f>L5/K5</f>
        <v>0.109375</v>
      </c>
      <c r="O5" s="2">
        <v>0.34429999999999999</v>
      </c>
      <c r="P5" s="2">
        <v>0.93200000000000005</v>
      </c>
      <c r="Q5" t="b">
        <f>(P5&lt;G5)</f>
        <v>0</v>
      </c>
    </row>
    <row r="6" spans="1:17">
      <c r="A6" t="s">
        <v>20</v>
      </c>
      <c r="B6">
        <v>33</v>
      </c>
      <c r="C6">
        <v>57</v>
      </c>
      <c r="D6">
        <v>33</v>
      </c>
      <c r="E6">
        <v>0.57899999999999996</v>
      </c>
      <c r="F6">
        <v>1</v>
      </c>
      <c r="G6">
        <v>0.73299999999999998</v>
      </c>
      <c r="H6">
        <v>0.151</v>
      </c>
      <c r="I6">
        <v>17</v>
      </c>
      <c r="J6">
        <v>0</v>
      </c>
      <c r="K6">
        <v>49</v>
      </c>
      <c r="L6">
        <v>0</v>
      </c>
      <c r="M6">
        <f>J6/I6</f>
        <v>0</v>
      </c>
      <c r="N6">
        <f>L6/K6</f>
        <v>0</v>
      </c>
      <c r="O6" s="2">
        <v>0.42109999999999997</v>
      </c>
      <c r="P6" s="2">
        <v>0.95199999999999996</v>
      </c>
      <c r="Q6" t="b">
        <f>(P6&lt;G6)</f>
        <v>0</v>
      </c>
    </row>
    <row r="7" spans="1:17">
      <c r="A7" t="s">
        <v>21</v>
      </c>
      <c r="B7">
        <v>35</v>
      </c>
      <c r="C7">
        <v>65</v>
      </c>
      <c r="D7">
        <v>35</v>
      </c>
      <c r="E7">
        <v>0.53800000000000003</v>
      </c>
      <c r="F7">
        <v>1</v>
      </c>
      <c r="G7">
        <v>0.7</v>
      </c>
      <c r="H7">
        <v>-2.8000000000000001E-2</v>
      </c>
      <c r="I7">
        <v>42</v>
      </c>
      <c r="J7">
        <v>0</v>
      </c>
      <c r="K7">
        <v>43</v>
      </c>
      <c r="L7">
        <v>1</v>
      </c>
      <c r="M7">
        <f>J7/I7</f>
        <v>0</v>
      </c>
      <c r="N7">
        <f>L7/K7</f>
        <v>2.3255813953488372E-2</v>
      </c>
      <c r="O7" s="2">
        <v>0.81540000000000001</v>
      </c>
      <c r="P7" s="2">
        <v>0.90600000000000003</v>
      </c>
      <c r="Q7" t="b">
        <f>(P7&lt;G7)</f>
        <v>0</v>
      </c>
    </row>
    <row r="8" spans="1:17">
      <c r="A8" t="s">
        <v>22</v>
      </c>
      <c r="B8">
        <v>36</v>
      </c>
      <c r="C8">
        <v>65</v>
      </c>
      <c r="D8">
        <v>36</v>
      </c>
      <c r="E8">
        <v>0.55400000000000005</v>
      </c>
      <c r="F8">
        <v>1</v>
      </c>
      <c r="G8">
        <v>0.71299999999999997</v>
      </c>
      <c r="H8">
        <v>1.7000000000000001E-2</v>
      </c>
      <c r="I8">
        <v>19</v>
      </c>
      <c r="J8">
        <v>0</v>
      </c>
      <c r="K8">
        <v>66</v>
      </c>
      <c r="L8">
        <v>4</v>
      </c>
      <c r="M8">
        <f>J8/I8</f>
        <v>0</v>
      </c>
      <c r="N8">
        <f>L8/K8</f>
        <v>6.0606060606060608E-2</v>
      </c>
      <c r="O8" s="2">
        <v>0.6462</v>
      </c>
      <c r="P8" s="2">
        <v>0.75900000000000001</v>
      </c>
      <c r="Q8" t="b">
        <f>(P8&lt;G8)</f>
        <v>0</v>
      </c>
    </row>
    <row r="9" spans="1:17">
      <c r="A9" t="s">
        <v>23</v>
      </c>
      <c r="B9">
        <v>22</v>
      </c>
      <c r="C9">
        <v>56</v>
      </c>
      <c r="D9">
        <v>22</v>
      </c>
      <c r="E9">
        <v>0.39300000000000002</v>
      </c>
      <c r="F9">
        <v>1</v>
      </c>
      <c r="G9">
        <v>0.56399999999999995</v>
      </c>
      <c r="H9">
        <v>-7.6999999999999999E-2</v>
      </c>
      <c r="I9">
        <v>31</v>
      </c>
      <c r="J9">
        <v>0</v>
      </c>
      <c r="K9">
        <v>34</v>
      </c>
      <c r="L9">
        <v>2</v>
      </c>
      <c r="M9">
        <f>J9/I9</f>
        <v>0</v>
      </c>
      <c r="N9">
        <f>L9/K9</f>
        <v>5.8823529411764705E-2</v>
      </c>
      <c r="O9" s="2">
        <v>0.41070000000000001</v>
      </c>
      <c r="P9" s="2">
        <v>0.88</v>
      </c>
      <c r="Q9" t="b">
        <f>(P9&lt;G9)</f>
        <v>0</v>
      </c>
    </row>
    <row r="10" spans="1:17">
      <c r="A10" t="s">
        <v>25</v>
      </c>
      <c r="B10">
        <v>68</v>
      </c>
      <c r="C10">
        <v>46</v>
      </c>
      <c r="D10">
        <v>46</v>
      </c>
      <c r="E10">
        <v>1</v>
      </c>
      <c r="F10">
        <v>0.67600000000000005</v>
      </c>
      <c r="G10">
        <v>0.80700000000000005</v>
      </c>
      <c r="H10">
        <v>0.251</v>
      </c>
      <c r="I10">
        <v>77</v>
      </c>
      <c r="J10">
        <v>0</v>
      </c>
      <c r="K10">
        <v>92</v>
      </c>
      <c r="L10">
        <v>0</v>
      </c>
      <c r="M10">
        <f>J10/I10</f>
        <v>0</v>
      </c>
      <c r="N10">
        <f>L10/K10</f>
        <v>0</v>
      </c>
      <c r="O10" s="2">
        <v>0.6522</v>
      </c>
      <c r="P10" s="2">
        <v>0.83799999999999997</v>
      </c>
      <c r="Q10" t="b">
        <f>(P10&lt;G10)</f>
        <v>0</v>
      </c>
    </row>
    <row r="11" spans="1:17">
      <c r="A11" t="s">
        <v>27</v>
      </c>
      <c r="B11">
        <v>19</v>
      </c>
      <c r="C11">
        <v>51</v>
      </c>
      <c r="D11">
        <v>19</v>
      </c>
      <c r="E11">
        <v>0.373</v>
      </c>
      <c r="F11">
        <v>1</v>
      </c>
      <c r="G11">
        <v>0.54300000000000004</v>
      </c>
      <c r="H11">
        <v>-0.126</v>
      </c>
      <c r="I11">
        <v>21</v>
      </c>
      <c r="J11">
        <v>0</v>
      </c>
      <c r="K11">
        <v>18</v>
      </c>
      <c r="L11">
        <v>2</v>
      </c>
      <c r="M11">
        <f>J11/I11</f>
        <v>0</v>
      </c>
      <c r="N11">
        <f>L11/K11</f>
        <v>0.1111111111111111</v>
      </c>
      <c r="O11" s="2">
        <v>0.27450000000000002</v>
      </c>
      <c r="P11" s="2">
        <v>0.88200000000000001</v>
      </c>
      <c r="Q11" t="b">
        <f>(P11&lt;G11)</f>
        <v>0</v>
      </c>
    </row>
    <row r="12" spans="1:17">
      <c r="A12" t="s">
        <v>29</v>
      </c>
      <c r="B12">
        <v>33</v>
      </c>
      <c r="C12">
        <v>86</v>
      </c>
      <c r="D12">
        <v>33</v>
      </c>
      <c r="E12">
        <v>0.38400000000000001</v>
      </c>
      <c r="F12">
        <v>1</v>
      </c>
      <c r="G12">
        <v>0.55500000000000005</v>
      </c>
      <c r="H12">
        <v>-6.2E-2</v>
      </c>
      <c r="I12">
        <v>57</v>
      </c>
      <c r="J12">
        <v>8</v>
      </c>
      <c r="K12">
        <v>70</v>
      </c>
      <c r="L12">
        <v>7</v>
      </c>
      <c r="M12">
        <f>J12/I12</f>
        <v>0.14035087719298245</v>
      </c>
      <c r="N12">
        <f>L12/K12</f>
        <v>0.1</v>
      </c>
      <c r="O12" s="2">
        <v>0.36049999999999999</v>
      </c>
      <c r="P12" s="2">
        <v>0.84799999999999998</v>
      </c>
      <c r="Q12" t="b">
        <f>(P12&lt;G12)</f>
        <v>0</v>
      </c>
    </row>
    <row r="13" spans="1:17">
      <c r="A13" t="s">
        <v>30</v>
      </c>
      <c r="B13">
        <v>41</v>
      </c>
      <c r="C13">
        <v>43</v>
      </c>
      <c r="D13">
        <v>41</v>
      </c>
      <c r="E13">
        <v>0.95299999999999996</v>
      </c>
      <c r="F13">
        <v>1</v>
      </c>
      <c r="G13">
        <v>0.97599999999999998</v>
      </c>
      <c r="H13">
        <v>0.65600000000000003</v>
      </c>
      <c r="I13">
        <v>50</v>
      </c>
      <c r="J13">
        <v>2</v>
      </c>
      <c r="K13">
        <v>49</v>
      </c>
      <c r="L13">
        <v>8</v>
      </c>
      <c r="M13">
        <f>J13/I13</f>
        <v>0.04</v>
      </c>
      <c r="N13">
        <f>L13/K13</f>
        <v>0.16326530612244897</v>
      </c>
      <c r="O13" s="2">
        <v>0.13950000000000001</v>
      </c>
      <c r="P13" s="2">
        <v>1</v>
      </c>
      <c r="Q13" t="b">
        <f>(P13&lt;G13)</f>
        <v>0</v>
      </c>
    </row>
    <row r="14" spans="1:17">
      <c r="A14" t="s">
        <v>34</v>
      </c>
      <c r="B14">
        <v>24</v>
      </c>
      <c r="C14">
        <v>47</v>
      </c>
      <c r="D14">
        <v>24</v>
      </c>
      <c r="E14">
        <v>0.51100000000000001</v>
      </c>
      <c r="F14">
        <v>1</v>
      </c>
      <c r="G14">
        <v>0.67600000000000005</v>
      </c>
      <c r="H14">
        <v>0.35699999999999998</v>
      </c>
      <c r="I14">
        <v>9</v>
      </c>
      <c r="J14">
        <v>0</v>
      </c>
      <c r="K14">
        <v>34</v>
      </c>
      <c r="L14">
        <v>1</v>
      </c>
      <c r="M14">
        <f>J14/I14</f>
        <v>0</v>
      </c>
      <c r="N14">
        <f>L14/K14</f>
        <v>2.9411764705882353E-2</v>
      </c>
      <c r="O14" s="2">
        <v>0.21279999999999999</v>
      </c>
      <c r="P14" s="2">
        <v>0.97899999999999998</v>
      </c>
      <c r="Q14" t="b">
        <f>(P14&lt;G14)</f>
        <v>0</v>
      </c>
    </row>
    <row r="15" spans="1:17">
      <c r="A15" t="s">
        <v>35</v>
      </c>
      <c r="B15">
        <v>23</v>
      </c>
      <c r="C15">
        <v>43</v>
      </c>
      <c r="D15">
        <v>23</v>
      </c>
      <c r="E15">
        <v>0.53500000000000003</v>
      </c>
      <c r="F15">
        <v>1</v>
      </c>
      <c r="G15">
        <v>0.69699999999999995</v>
      </c>
      <c r="H15">
        <v>-0.375</v>
      </c>
      <c r="I15">
        <v>17</v>
      </c>
      <c r="J15">
        <v>0</v>
      </c>
      <c r="K15">
        <v>45</v>
      </c>
      <c r="L15">
        <v>1</v>
      </c>
      <c r="M15">
        <f>J15/I15</f>
        <v>0</v>
      </c>
      <c r="N15">
        <f>L15/K15</f>
        <v>2.2222222222222223E-2</v>
      </c>
      <c r="O15" s="2">
        <v>0.3256</v>
      </c>
      <c r="P15" s="2">
        <v>0.92</v>
      </c>
      <c r="Q15" t="b">
        <f>(P15&lt;G15)</f>
        <v>0</v>
      </c>
    </row>
    <row r="16" spans="1:17">
      <c r="A16" t="s">
        <v>38</v>
      </c>
      <c r="B16">
        <v>25</v>
      </c>
      <c r="C16">
        <v>56</v>
      </c>
      <c r="D16">
        <v>25</v>
      </c>
      <c r="E16">
        <v>0.44600000000000001</v>
      </c>
      <c r="F16">
        <v>1</v>
      </c>
      <c r="G16">
        <v>0.61699999999999999</v>
      </c>
      <c r="H16">
        <v>0.41299999999999998</v>
      </c>
      <c r="I16">
        <v>42</v>
      </c>
      <c r="J16">
        <v>0</v>
      </c>
      <c r="K16">
        <v>28</v>
      </c>
      <c r="L16">
        <v>0</v>
      </c>
      <c r="M16">
        <f>J16/I16</f>
        <v>0</v>
      </c>
      <c r="N16">
        <f>L16/K16</f>
        <v>0</v>
      </c>
      <c r="O16" s="2">
        <v>0.625</v>
      </c>
      <c r="P16" s="2">
        <v>0.98</v>
      </c>
      <c r="Q16" t="b">
        <f>(P16&lt;G16)</f>
        <v>0</v>
      </c>
    </row>
    <row r="17" spans="1:17">
      <c r="A17" t="s">
        <v>39</v>
      </c>
      <c r="B17">
        <v>23</v>
      </c>
      <c r="C17">
        <v>49</v>
      </c>
      <c r="D17">
        <v>23</v>
      </c>
      <c r="E17">
        <v>0.46899999999999997</v>
      </c>
      <c r="F17">
        <v>1</v>
      </c>
      <c r="G17">
        <v>0.63900000000000001</v>
      </c>
      <c r="H17">
        <v>0.253</v>
      </c>
      <c r="I17">
        <v>23</v>
      </c>
      <c r="J17">
        <v>0</v>
      </c>
      <c r="K17">
        <v>38</v>
      </c>
      <c r="L17">
        <v>1</v>
      </c>
      <c r="M17">
        <f>J17/I17</f>
        <v>0</v>
      </c>
      <c r="N17">
        <f>L17/K17</f>
        <v>2.6315789473684209E-2</v>
      </c>
      <c r="O17" s="2">
        <v>0.34689999999999999</v>
      </c>
      <c r="P17" s="2">
        <v>0.95499999999999996</v>
      </c>
      <c r="Q17" t="b">
        <f>(P17&lt;G17)</f>
        <v>0</v>
      </c>
    </row>
    <row r="18" spans="1:17">
      <c r="A18" t="s">
        <v>40</v>
      </c>
      <c r="B18">
        <v>37</v>
      </c>
      <c r="C18">
        <v>60</v>
      </c>
      <c r="D18">
        <v>37</v>
      </c>
      <c r="E18">
        <v>0.61699999999999999</v>
      </c>
      <c r="F18">
        <v>1</v>
      </c>
      <c r="G18">
        <v>0.76300000000000001</v>
      </c>
      <c r="H18">
        <v>7.0000000000000007E-2</v>
      </c>
      <c r="I18">
        <v>39</v>
      </c>
      <c r="J18">
        <v>0</v>
      </c>
      <c r="K18">
        <v>44</v>
      </c>
      <c r="L18">
        <v>0</v>
      </c>
      <c r="M18">
        <f>J18/I18</f>
        <v>0</v>
      </c>
      <c r="N18">
        <f>L18/K18</f>
        <v>0</v>
      </c>
      <c r="O18" s="2">
        <v>0.83330000000000004</v>
      </c>
      <c r="P18" s="2">
        <v>0.94299999999999995</v>
      </c>
      <c r="Q18" t="b">
        <f>(P18&lt;G18)</f>
        <v>0</v>
      </c>
    </row>
    <row r="19" spans="1:17">
      <c r="A19" t="s">
        <v>41</v>
      </c>
      <c r="B19">
        <v>43</v>
      </c>
      <c r="C19">
        <v>33</v>
      </c>
      <c r="D19">
        <v>33</v>
      </c>
      <c r="E19">
        <v>1</v>
      </c>
      <c r="F19">
        <v>0.76700000000000002</v>
      </c>
      <c r="G19">
        <v>0.86799999999999999</v>
      </c>
      <c r="H19">
        <v>0.23899999999999999</v>
      </c>
      <c r="I19">
        <v>35</v>
      </c>
      <c r="J19">
        <v>1</v>
      </c>
      <c r="K19">
        <v>65</v>
      </c>
      <c r="L19">
        <v>2</v>
      </c>
      <c r="M19">
        <f>J19/I19</f>
        <v>2.8571428571428571E-2</v>
      </c>
      <c r="N19">
        <f>L19/K19</f>
        <v>3.0769230769230771E-2</v>
      </c>
      <c r="O19" s="2">
        <v>0.30299999999999999</v>
      </c>
      <c r="P19" s="2">
        <v>0.93799999999999994</v>
      </c>
      <c r="Q19" t="b">
        <f>(P19&lt;G19)</f>
        <v>0</v>
      </c>
    </row>
    <row r="20" spans="1:17">
      <c r="A20" t="s">
        <v>42</v>
      </c>
      <c r="B20">
        <v>36</v>
      </c>
      <c r="C20">
        <v>47</v>
      </c>
      <c r="D20">
        <v>32</v>
      </c>
      <c r="E20">
        <v>0.68100000000000005</v>
      </c>
      <c r="F20">
        <v>0.88900000000000001</v>
      </c>
      <c r="G20">
        <v>0.77100000000000002</v>
      </c>
      <c r="H20">
        <v>-0.24399999999999999</v>
      </c>
      <c r="I20">
        <v>33</v>
      </c>
      <c r="J20">
        <v>1</v>
      </c>
      <c r="K20">
        <v>71</v>
      </c>
      <c r="L20">
        <v>3</v>
      </c>
      <c r="M20">
        <f>J20/I20</f>
        <v>3.0303030303030304E-2</v>
      </c>
      <c r="N20">
        <f>L20/K20</f>
        <v>4.2253521126760563E-2</v>
      </c>
      <c r="O20" s="2">
        <v>0.51060000000000005</v>
      </c>
      <c r="P20" s="2">
        <v>0.85699999999999998</v>
      </c>
      <c r="Q20" t="b">
        <f>(P20&lt;G20)</f>
        <v>0</v>
      </c>
    </row>
    <row r="21" spans="1:17">
      <c r="A21" t="s">
        <v>43</v>
      </c>
      <c r="B21">
        <v>23</v>
      </c>
      <c r="C21">
        <v>57</v>
      </c>
      <c r="D21">
        <v>23</v>
      </c>
      <c r="E21">
        <v>0.40400000000000003</v>
      </c>
      <c r="F21">
        <v>1</v>
      </c>
      <c r="G21">
        <v>0.57499999999999996</v>
      </c>
      <c r="H21">
        <v>0.22600000000000001</v>
      </c>
      <c r="I21">
        <v>23</v>
      </c>
      <c r="J21">
        <v>1</v>
      </c>
      <c r="K21">
        <v>26</v>
      </c>
      <c r="L21">
        <v>4</v>
      </c>
      <c r="M21">
        <f>J21/I21</f>
        <v>4.3478260869565216E-2</v>
      </c>
      <c r="N21">
        <f>L21/K21</f>
        <v>0.15384615384615385</v>
      </c>
      <c r="O21" s="2">
        <v>0.73680000000000001</v>
      </c>
      <c r="P21" s="2">
        <v>0.95499999999999996</v>
      </c>
      <c r="Q21" t="b">
        <f>(P21&lt;G21)</f>
        <v>0</v>
      </c>
    </row>
    <row r="22" spans="1:17">
      <c r="A22" t="s">
        <v>44</v>
      </c>
      <c r="B22">
        <v>30</v>
      </c>
      <c r="C22">
        <v>61</v>
      </c>
      <c r="D22">
        <v>30</v>
      </c>
      <c r="E22">
        <v>0.49199999999999999</v>
      </c>
      <c r="F22">
        <v>1</v>
      </c>
      <c r="G22">
        <v>0.65900000000000003</v>
      </c>
      <c r="H22">
        <v>-0.127</v>
      </c>
      <c r="I22">
        <v>21</v>
      </c>
      <c r="J22">
        <v>0</v>
      </c>
      <c r="K22">
        <v>36</v>
      </c>
      <c r="L22">
        <v>5</v>
      </c>
      <c r="M22">
        <f>J22/I22</f>
        <v>0</v>
      </c>
      <c r="N22">
        <f>L22/K22</f>
        <v>0.1388888888888889</v>
      </c>
      <c r="O22" s="2">
        <v>0.2787</v>
      </c>
      <c r="P22" s="2">
        <v>0.92900000000000005</v>
      </c>
      <c r="Q22" t="b">
        <f>(P22&lt;G22)</f>
        <v>0</v>
      </c>
    </row>
    <row r="23" spans="1:17">
      <c r="A23" t="s">
        <v>45</v>
      </c>
      <c r="B23">
        <v>28</v>
      </c>
      <c r="C23">
        <v>68</v>
      </c>
      <c r="D23">
        <v>28</v>
      </c>
      <c r="E23">
        <v>0.41199999999999998</v>
      </c>
      <c r="F23">
        <v>1</v>
      </c>
      <c r="G23">
        <v>0.58299999999999996</v>
      </c>
      <c r="H23">
        <v>0.34899999999999998</v>
      </c>
      <c r="I23">
        <v>50</v>
      </c>
      <c r="J23">
        <v>0</v>
      </c>
      <c r="K23">
        <v>42</v>
      </c>
      <c r="L23">
        <v>6</v>
      </c>
      <c r="M23">
        <f>J23/I23</f>
        <v>0</v>
      </c>
      <c r="N23">
        <f>L23/K23</f>
        <v>0.14285714285714285</v>
      </c>
      <c r="O23" s="2">
        <v>0.17649999999999999</v>
      </c>
      <c r="P23" s="2">
        <v>0.66700000000000004</v>
      </c>
      <c r="Q23" t="b">
        <f>(P23&lt;G23)</f>
        <v>0</v>
      </c>
    </row>
    <row r="24" spans="1:17">
      <c r="A24" t="s">
        <v>47</v>
      </c>
      <c r="B24">
        <v>18</v>
      </c>
      <c r="C24">
        <v>51</v>
      </c>
      <c r="D24">
        <v>18</v>
      </c>
      <c r="E24">
        <v>0.35299999999999998</v>
      </c>
      <c r="F24">
        <v>1</v>
      </c>
      <c r="G24">
        <v>0.52200000000000002</v>
      </c>
      <c r="H24">
        <v>4.9000000000000002E-2</v>
      </c>
      <c r="I24">
        <v>32</v>
      </c>
      <c r="J24">
        <v>4</v>
      </c>
      <c r="K24">
        <v>27</v>
      </c>
      <c r="L24">
        <v>4</v>
      </c>
      <c r="M24">
        <f>J24/I24</f>
        <v>0.125</v>
      </c>
      <c r="N24">
        <f>L24/K24</f>
        <v>0.14814814814814814</v>
      </c>
      <c r="O24" s="2">
        <v>0.35289999999999999</v>
      </c>
      <c r="P24" s="2">
        <v>0.75</v>
      </c>
      <c r="Q24" t="b">
        <f>(P24&lt;G24)</f>
        <v>0</v>
      </c>
    </row>
    <row r="25" spans="1:17">
      <c r="A25" t="s">
        <v>50</v>
      </c>
      <c r="B25">
        <v>30</v>
      </c>
      <c r="C25">
        <v>39</v>
      </c>
      <c r="D25">
        <v>30</v>
      </c>
      <c r="E25">
        <v>0.76900000000000002</v>
      </c>
      <c r="F25">
        <v>1</v>
      </c>
      <c r="G25">
        <v>0.87</v>
      </c>
      <c r="H25">
        <v>-0.31900000000000001</v>
      </c>
      <c r="I25">
        <v>27</v>
      </c>
      <c r="J25">
        <v>0</v>
      </c>
      <c r="K25">
        <v>53</v>
      </c>
      <c r="L25">
        <v>1</v>
      </c>
      <c r="M25">
        <f>J25/I25</f>
        <v>0</v>
      </c>
      <c r="N25">
        <f>L25/K25</f>
        <v>1.8867924528301886E-2</v>
      </c>
      <c r="O25" s="2">
        <v>0.82050000000000001</v>
      </c>
      <c r="P25" s="2">
        <v>0.90900000000000003</v>
      </c>
      <c r="Q25" t="b">
        <f>(P25&lt;G25)</f>
        <v>0</v>
      </c>
    </row>
    <row r="26" spans="1:17">
      <c r="A26" t="s">
        <v>52</v>
      </c>
      <c r="B26">
        <v>30</v>
      </c>
      <c r="C26">
        <v>46</v>
      </c>
      <c r="D26">
        <v>30</v>
      </c>
      <c r="E26">
        <v>0.65200000000000002</v>
      </c>
      <c r="F26">
        <v>1</v>
      </c>
      <c r="G26">
        <v>0.78900000000000003</v>
      </c>
      <c r="H26">
        <v>0.26500000000000001</v>
      </c>
      <c r="I26">
        <v>46</v>
      </c>
      <c r="J26">
        <v>0</v>
      </c>
      <c r="K26">
        <v>58</v>
      </c>
      <c r="L26">
        <v>3</v>
      </c>
      <c r="M26">
        <f>J26/I26</f>
        <v>0</v>
      </c>
      <c r="N26">
        <f>L26/K26</f>
        <v>5.1724137931034482E-2</v>
      </c>
      <c r="O26" s="2">
        <v>0.3478</v>
      </c>
      <c r="P26" s="2">
        <v>0.92900000000000005</v>
      </c>
      <c r="Q26" t="b">
        <f>(P26&lt;G26)</f>
        <v>0</v>
      </c>
    </row>
    <row r="27" spans="1:17">
      <c r="A27" t="s">
        <v>53</v>
      </c>
      <c r="B27">
        <v>19</v>
      </c>
      <c r="C27">
        <v>34</v>
      </c>
      <c r="D27">
        <v>19</v>
      </c>
      <c r="E27">
        <v>0.55900000000000005</v>
      </c>
      <c r="F27">
        <v>1</v>
      </c>
      <c r="G27">
        <v>0.71699999999999997</v>
      </c>
      <c r="H27">
        <v>-0.39300000000000002</v>
      </c>
      <c r="I27">
        <v>18</v>
      </c>
      <c r="J27">
        <v>0</v>
      </c>
      <c r="K27">
        <v>28</v>
      </c>
      <c r="L27">
        <v>0</v>
      </c>
      <c r="M27">
        <f>J27/I27</f>
        <v>0</v>
      </c>
      <c r="N27">
        <f>L27/K27</f>
        <v>0</v>
      </c>
      <c r="O27" s="2">
        <v>0.23530000000000001</v>
      </c>
      <c r="P27" s="2">
        <v>0.745</v>
      </c>
      <c r="Q27" t="b">
        <f>(P27&lt;G27)</f>
        <v>0</v>
      </c>
    </row>
    <row r="28" spans="1:17">
      <c r="A28" t="s">
        <v>54</v>
      </c>
      <c r="B28">
        <v>32</v>
      </c>
      <c r="C28">
        <v>48</v>
      </c>
      <c r="D28">
        <v>32</v>
      </c>
      <c r="E28">
        <v>0.66700000000000004</v>
      </c>
      <c r="F28">
        <v>1</v>
      </c>
      <c r="G28">
        <v>0.8</v>
      </c>
      <c r="H28">
        <v>2.5999999999999999E-2</v>
      </c>
      <c r="I28">
        <v>36</v>
      </c>
      <c r="J28">
        <v>0</v>
      </c>
      <c r="K28">
        <v>37</v>
      </c>
      <c r="L28">
        <v>0</v>
      </c>
      <c r="M28">
        <f>J28/I28</f>
        <v>0</v>
      </c>
      <c r="N28">
        <f>L28/K28</f>
        <v>0</v>
      </c>
      <c r="O28" s="2">
        <v>0.375</v>
      </c>
      <c r="P28" s="2">
        <v>0.98399999999999999</v>
      </c>
      <c r="Q28" t="b">
        <f>(P28&lt;G28)</f>
        <v>0</v>
      </c>
    </row>
    <row r="29" spans="1:17">
      <c r="A29" t="s">
        <v>56</v>
      </c>
      <c r="B29">
        <v>19</v>
      </c>
      <c r="C29">
        <v>40</v>
      </c>
      <c r="D29">
        <v>19</v>
      </c>
      <c r="E29">
        <v>0.47499999999999998</v>
      </c>
      <c r="F29">
        <v>1</v>
      </c>
      <c r="G29">
        <v>0.64400000000000002</v>
      </c>
      <c r="H29">
        <v>0.17699999999999999</v>
      </c>
      <c r="I29">
        <v>9</v>
      </c>
      <c r="J29">
        <v>0</v>
      </c>
      <c r="K29">
        <v>25</v>
      </c>
      <c r="L29">
        <v>0</v>
      </c>
      <c r="M29">
        <f>J29/I29</f>
        <v>0</v>
      </c>
      <c r="N29">
        <f>L29/K29</f>
        <v>0</v>
      </c>
      <c r="O29" s="2">
        <v>0.375</v>
      </c>
      <c r="P29" s="2">
        <v>0.92700000000000005</v>
      </c>
      <c r="Q29" t="b">
        <f>(P29&lt;G29)</f>
        <v>0</v>
      </c>
    </row>
    <row r="30" spans="1:17">
      <c r="A30" t="s">
        <v>57</v>
      </c>
      <c r="B30">
        <v>46</v>
      </c>
      <c r="C30">
        <v>70</v>
      </c>
      <c r="D30">
        <v>46</v>
      </c>
      <c r="E30">
        <v>0.65700000000000003</v>
      </c>
      <c r="F30">
        <v>1</v>
      </c>
      <c r="G30">
        <v>0.79300000000000004</v>
      </c>
      <c r="H30">
        <v>5.8000000000000003E-2</v>
      </c>
      <c r="I30">
        <v>87</v>
      </c>
      <c r="J30">
        <v>2</v>
      </c>
      <c r="K30">
        <v>52</v>
      </c>
      <c r="L30">
        <v>1</v>
      </c>
      <c r="M30">
        <f>J30/I30</f>
        <v>2.2988505747126436E-2</v>
      </c>
      <c r="N30">
        <f>L30/K30</f>
        <v>1.9230769230769232E-2</v>
      </c>
      <c r="O30" s="2">
        <v>0.44290000000000002</v>
      </c>
      <c r="P30" s="2">
        <v>0.93</v>
      </c>
      <c r="Q30" t="b">
        <f>(P30&lt;G30)</f>
        <v>0</v>
      </c>
    </row>
    <row r="31" spans="1:17">
      <c r="A31" t="s">
        <v>13</v>
      </c>
      <c r="B31">
        <v>44</v>
      </c>
      <c r="C31">
        <v>41</v>
      </c>
      <c r="D31">
        <v>41</v>
      </c>
      <c r="E31">
        <v>1</v>
      </c>
      <c r="F31">
        <v>0.93200000000000005</v>
      </c>
      <c r="G31">
        <v>0.96499999999999997</v>
      </c>
      <c r="H31">
        <v>-0.08</v>
      </c>
      <c r="I31">
        <v>45</v>
      </c>
      <c r="J31">
        <v>1</v>
      </c>
      <c r="K31">
        <v>65</v>
      </c>
      <c r="L31">
        <v>1</v>
      </c>
      <c r="M31">
        <f>J31/I31</f>
        <v>2.2222222222222223E-2</v>
      </c>
      <c r="N31">
        <f>L31/K31</f>
        <v>1.5384615384615385E-2</v>
      </c>
      <c r="O31" s="2">
        <v>0.122</v>
      </c>
      <c r="P31" s="2">
        <v>0.625</v>
      </c>
      <c r="Q31" s="3" t="b">
        <f>(P31&lt;G31)</f>
        <v>1</v>
      </c>
    </row>
    <row r="32" spans="1:17">
      <c r="A32" t="s">
        <v>17</v>
      </c>
      <c r="B32">
        <v>47</v>
      </c>
      <c r="C32">
        <v>32</v>
      </c>
      <c r="D32">
        <v>32</v>
      </c>
      <c r="E32">
        <v>1</v>
      </c>
      <c r="F32">
        <v>0.68100000000000005</v>
      </c>
      <c r="G32">
        <v>0.81</v>
      </c>
      <c r="H32">
        <v>-8.7999999999999995E-2</v>
      </c>
      <c r="I32">
        <v>41</v>
      </c>
      <c r="J32">
        <v>0</v>
      </c>
      <c r="K32">
        <v>56</v>
      </c>
      <c r="L32">
        <v>4</v>
      </c>
      <c r="M32">
        <f>J32/I32</f>
        <v>0</v>
      </c>
      <c r="N32">
        <f>L32/K32</f>
        <v>7.1428571428571425E-2</v>
      </c>
      <c r="O32" s="2">
        <v>0.8125</v>
      </c>
      <c r="P32" s="2">
        <v>0.55400000000000005</v>
      </c>
      <c r="Q32" s="3" t="b">
        <f>(P32&lt;G32)</f>
        <v>1</v>
      </c>
    </row>
    <row r="33" spans="1:17">
      <c r="A33" t="s">
        <v>18</v>
      </c>
      <c r="B33">
        <v>40</v>
      </c>
      <c r="C33">
        <v>41</v>
      </c>
      <c r="D33">
        <v>40</v>
      </c>
      <c r="E33">
        <v>0.97599999999999998</v>
      </c>
      <c r="F33">
        <v>1</v>
      </c>
      <c r="G33">
        <v>0.98799999999999999</v>
      </c>
      <c r="H33">
        <v>0.189</v>
      </c>
      <c r="I33">
        <v>44</v>
      </c>
      <c r="J33">
        <v>1</v>
      </c>
      <c r="K33">
        <v>77</v>
      </c>
      <c r="L33">
        <v>2</v>
      </c>
      <c r="M33">
        <f>J33/I33</f>
        <v>2.2727272727272728E-2</v>
      </c>
      <c r="N33">
        <f>L33/K33</f>
        <v>2.5974025974025976E-2</v>
      </c>
      <c r="O33" s="2">
        <v>0.68289999999999995</v>
      </c>
      <c r="P33" s="2">
        <v>0.80600000000000005</v>
      </c>
      <c r="Q33" s="3" t="b">
        <f>(P33&lt;G33)</f>
        <v>1</v>
      </c>
    </row>
    <row r="34" spans="1:17">
      <c r="A34" t="s">
        <v>19</v>
      </c>
      <c r="B34">
        <v>30</v>
      </c>
      <c r="C34">
        <v>33</v>
      </c>
      <c r="D34">
        <v>30</v>
      </c>
      <c r="E34">
        <v>0.90900000000000003</v>
      </c>
      <c r="F34">
        <v>1</v>
      </c>
      <c r="G34">
        <v>0.95199999999999996</v>
      </c>
      <c r="H34">
        <v>-0.35099999999999998</v>
      </c>
      <c r="I34">
        <v>31</v>
      </c>
      <c r="J34">
        <v>0</v>
      </c>
      <c r="K34">
        <v>47</v>
      </c>
      <c r="L34">
        <v>0</v>
      </c>
      <c r="M34">
        <f>J34/I34</f>
        <v>0</v>
      </c>
      <c r="N34">
        <f>L34/K34</f>
        <v>0</v>
      </c>
      <c r="O34" s="2">
        <v>0.2727</v>
      </c>
      <c r="P34" s="2">
        <v>0.88900000000000001</v>
      </c>
      <c r="Q34" s="3" t="b">
        <f>(P34&lt;G34)</f>
        <v>1</v>
      </c>
    </row>
    <row r="35" spans="1:17">
      <c r="A35" t="s">
        <v>24</v>
      </c>
      <c r="B35">
        <v>52</v>
      </c>
      <c r="C35">
        <v>63</v>
      </c>
      <c r="D35">
        <v>52</v>
      </c>
      <c r="E35">
        <v>0.82499999999999996</v>
      </c>
      <c r="F35">
        <v>1</v>
      </c>
      <c r="G35">
        <v>0.90400000000000003</v>
      </c>
      <c r="H35">
        <v>-0.20899999999999999</v>
      </c>
      <c r="I35">
        <v>102</v>
      </c>
      <c r="J35">
        <v>2</v>
      </c>
      <c r="K35">
        <v>79</v>
      </c>
      <c r="L35">
        <v>4</v>
      </c>
      <c r="M35">
        <f>J35/I35</f>
        <v>1.9607843137254902E-2</v>
      </c>
      <c r="N35">
        <f>L35/K35</f>
        <v>5.0632911392405063E-2</v>
      </c>
      <c r="O35" s="2">
        <v>0.6825</v>
      </c>
      <c r="P35" s="2">
        <v>0.77600000000000002</v>
      </c>
      <c r="Q35" s="3" t="b">
        <f>(P35&lt;G35)</f>
        <v>1</v>
      </c>
    </row>
    <row r="36" spans="1:17">
      <c r="A36" t="s">
        <v>26</v>
      </c>
      <c r="B36">
        <v>48</v>
      </c>
      <c r="C36">
        <v>52</v>
      </c>
      <c r="D36">
        <v>48</v>
      </c>
      <c r="E36">
        <v>0.92300000000000004</v>
      </c>
      <c r="F36">
        <v>1</v>
      </c>
      <c r="G36">
        <v>0.96</v>
      </c>
      <c r="H36">
        <v>0.497</v>
      </c>
      <c r="I36">
        <v>43</v>
      </c>
      <c r="J36">
        <v>0</v>
      </c>
      <c r="K36">
        <v>71</v>
      </c>
      <c r="L36">
        <v>1</v>
      </c>
      <c r="M36">
        <f>J36/I36</f>
        <v>0</v>
      </c>
      <c r="N36">
        <f>L36/K36</f>
        <v>1.4084507042253521E-2</v>
      </c>
      <c r="O36" s="2">
        <v>0.3846</v>
      </c>
      <c r="P36" s="2">
        <v>0.94099999999999995</v>
      </c>
      <c r="Q36" s="3" t="b">
        <f>(P36&lt;G36)</f>
        <v>1</v>
      </c>
    </row>
    <row r="37" spans="1:17">
      <c r="A37" t="s">
        <v>28</v>
      </c>
      <c r="B37">
        <v>68</v>
      </c>
      <c r="C37">
        <v>29</v>
      </c>
      <c r="D37">
        <v>29</v>
      </c>
      <c r="E37">
        <v>1</v>
      </c>
      <c r="F37">
        <v>0.42599999999999999</v>
      </c>
      <c r="G37">
        <v>0.59799999999999998</v>
      </c>
      <c r="H37">
        <v>0.36</v>
      </c>
      <c r="I37">
        <v>15</v>
      </c>
      <c r="J37">
        <v>0</v>
      </c>
      <c r="K37">
        <v>52</v>
      </c>
      <c r="L37">
        <v>2</v>
      </c>
      <c r="M37">
        <f>J37/I37</f>
        <v>0</v>
      </c>
      <c r="N37">
        <f>L37/K37</f>
        <v>3.8461538461538464E-2</v>
      </c>
      <c r="O37" s="2">
        <v>0.58620000000000005</v>
      </c>
      <c r="P37" s="2">
        <v>0.56799999999999995</v>
      </c>
      <c r="Q37" s="3" t="b">
        <f>(P37&lt;G37)</f>
        <v>1</v>
      </c>
    </row>
    <row r="38" spans="1:17">
      <c r="A38" t="s">
        <v>31</v>
      </c>
      <c r="B38">
        <v>44</v>
      </c>
      <c r="C38">
        <v>54</v>
      </c>
      <c r="D38">
        <v>43</v>
      </c>
      <c r="E38">
        <v>0.79600000000000004</v>
      </c>
      <c r="F38">
        <v>0.97699999999999998</v>
      </c>
      <c r="G38">
        <v>0.878</v>
      </c>
      <c r="H38">
        <v>4.3999999999999997E-2</v>
      </c>
      <c r="I38">
        <v>18</v>
      </c>
      <c r="J38">
        <v>0</v>
      </c>
      <c r="K38">
        <v>77</v>
      </c>
      <c r="L38">
        <v>0</v>
      </c>
      <c r="M38">
        <f>J38/I38</f>
        <v>0</v>
      </c>
      <c r="N38">
        <f>L38/K38</f>
        <v>0</v>
      </c>
      <c r="O38" s="2">
        <v>0.74070000000000003</v>
      </c>
      <c r="P38" s="2">
        <v>0.84199999999999997</v>
      </c>
      <c r="Q38" s="3" t="b">
        <f>(P38&lt;G38)</f>
        <v>1</v>
      </c>
    </row>
    <row r="39" spans="1:17">
      <c r="A39" t="s">
        <v>32</v>
      </c>
      <c r="B39">
        <v>28</v>
      </c>
      <c r="C39">
        <v>26</v>
      </c>
      <c r="D39">
        <v>25</v>
      </c>
      <c r="E39">
        <v>0.96199999999999997</v>
      </c>
      <c r="F39">
        <v>0.89300000000000002</v>
      </c>
      <c r="G39">
        <v>0.92600000000000005</v>
      </c>
      <c r="H39">
        <v>-1.7999999999999999E-2</v>
      </c>
      <c r="I39">
        <v>20</v>
      </c>
      <c r="J39">
        <v>0</v>
      </c>
      <c r="K39">
        <v>40</v>
      </c>
      <c r="L39">
        <v>1</v>
      </c>
      <c r="M39">
        <f>J39/I39</f>
        <v>0</v>
      </c>
      <c r="N39">
        <f>L39/K39</f>
        <v>2.5000000000000001E-2</v>
      </c>
      <c r="O39" s="2">
        <v>0.23080000000000001</v>
      </c>
      <c r="P39" s="2">
        <v>0.66700000000000004</v>
      </c>
      <c r="Q39" s="3" t="b">
        <f>(P39&lt;G39)</f>
        <v>1</v>
      </c>
    </row>
    <row r="40" spans="1:17">
      <c r="A40" t="s">
        <v>33</v>
      </c>
      <c r="B40">
        <v>50</v>
      </c>
      <c r="C40">
        <v>35</v>
      </c>
      <c r="D40">
        <v>35</v>
      </c>
      <c r="E40">
        <v>1</v>
      </c>
      <c r="F40">
        <v>0.7</v>
      </c>
      <c r="G40">
        <v>0.82399999999999995</v>
      </c>
      <c r="H40">
        <v>-2E-3</v>
      </c>
      <c r="I40">
        <v>15</v>
      </c>
      <c r="J40">
        <v>0</v>
      </c>
      <c r="K40">
        <v>58</v>
      </c>
      <c r="L40">
        <v>3</v>
      </c>
      <c r="M40">
        <f>J40/I40</f>
        <v>0</v>
      </c>
      <c r="N40">
        <f>L40/K40</f>
        <v>5.1724137931034482E-2</v>
      </c>
      <c r="O40" s="2">
        <v>0.48570000000000002</v>
      </c>
      <c r="P40" s="2">
        <v>0.61099999999999999</v>
      </c>
      <c r="Q40" s="3" t="b">
        <f>(P40&lt;G40)</f>
        <v>1</v>
      </c>
    </row>
    <row r="41" spans="1:17">
      <c r="A41" t="s">
        <v>36</v>
      </c>
      <c r="B41">
        <v>39</v>
      </c>
      <c r="C41">
        <v>36</v>
      </c>
      <c r="D41">
        <v>32</v>
      </c>
      <c r="E41">
        <v>0.88900000000000001</v>
      </c>
      <c r="F41">
        <v>0.82099999999999995</v>
      </c>
      <c r="G41">
        <v>0.85299999999999998</v>
      </c>
      <c r="H41">
        <v>0.248</v>
      </c>
      <c r="I41">
        <v>42</v>
      </c>
      <c r="J41">
        <v>1</v>
      </c>
      <c r="K41">
        <v>47</v>
      </c>
      <c r="L41">
        <v>1</v>
      </c>
      <c r="M41">
        <f>J41/I41</f>
        <v>2.3809523809523808E-2</v>
      </c>
      <c r="N41">
        <f>L41/K41</f>
        <v>2.1276595744680851E-2</v>
      </c>
      <c r="O41" s="2">
        <v>0.1389</v>
      </c>
      <c r="P41" s="2">
        <v>0.5</v>
      </c>
      <c r="Q41" s="3" t="b">
        <f>(P41&lt;G41)</f>
        <v>1</v>
      </c>
    </row>
    <row r="42" spans="1:17">
      <c r="A42" t="s">
        <v>37</v>
      </c>
      <c r="B42">
        <v>43</v>
      </c>
      <c r="C42">
        <v>57</v>
      </c>
      <c r="D42">
        <v>42</v>
      </c>
      <c r="E42">
        <v>0.73699999999999999</v>
      </c>
      <c r="F42">
        <v>0.97699999999999998</v>
      </c>
      <c r="G42">
        <v>0.84</v>
      </c>
      <c r="H42">
        <v>-6.0000000000000001E-3</v>
      </c>
      <c r="I42">
        <v>0</v>
      </c>
      <c r="J42">
        <v>0</v>
      </c>
      <c r="K42">
        <v>59</v>
      </c>
      <c r="L42">
        <v>0</v>
      </c>
      <c r="M42">
        <v>0</v>
      </c>
      <c r="N42">
        <f>L42/K42</f>
        <v>0</v>
      </c>
      <c r="O42" s="2">
        <v>0.29820000000000002</v>
      </c>
      <c r="P42" s="2">
        <v>0.73499999999999999</v>
      </c>
      <c r="Q42" s="3" t="b">
        <f>(P42&lt;G42)</f>
        <v>1</v>
      </c>
    </row>
    <row r="43" spans="1:17">
      <c r="A43" t="s">
        <v>46</v>
      </c>
      <c r="B43">
        <v>51</v>
      </c>
      <c r="C43">
        <v>33</v>
      </c>
      <c r="D43">
        <v>33</v>
      </c>
      <c r="E43">
        <v>1</v>
      </c>
      <c r="F43">
        <v>0.64700000000000002</v>
      </c>
      <c r="G43">
        <v>0.78600000000000003</v>
      </c>
      <c r="H43">
        <v>-0.218</v>
      </c>
      <c r="I43">
        <v>26</v>
      </c>
      <c r="J43">
        <v>0</v>
      </c>
      <c r="K43">
        <v>58</v>
      </c>
      <c r="L43">
        <v>1</v>
      </c>
      <c r="M43">
        <f>J43/I43</f>
        <v>0</v>
      </c>
      <c r="N43">
        <f>L43/K43</f>
        <v>1.7241379310344827E-2</v>
      </c>
      <c r="O43" s="2">
        <v>9.0899999999999995E-2</v>
      </c>
      <c r="P43" s="2">
        <v>0.60299999999999998</v>
      </c>
      <c r="Q43" s="3" t="b">
        <f>(P43&lt;G43)</f>
        <v>1</v>
      </c>
    </row>
    <row r="44" spans="1:17">
      <c r="A44" t="s">
        <v>48</v>
      </c>
      <c r="B44">
        <v>74</v>
      </c>
      <c r="C44">
        <v>39</v>
      </c>
      <c r="D44">
        <v>39</v>
      </c>
      <c r="E44">
        <v>1</v>
      </c>
      <c r="F44">
        <v>0.52700000000000002</v>
      </c>
      <c r="G44">
        <v>0.69</v>
      </c>
      <c r="H44">
        <v>0.45900000000000002</v>
      </c>
      <c r="I44">
        <v>28</v>
      </c>
      <c r="J44">
        <v>1</v>
      </c>
      <c r="K44">
        <v>48</v>
      </c>
      <c r="L44">
        <v>1</v>
      </c>
      <c r="M44">
        <f>J44/I44</f>
        <v>3.5714285714285712E-2</v>
      </c>
      <c r="N44">
        <f>L44/K44</f>
        <v>2.0833333333333332E-2</v>
      </c>
      <c r="O44" s="2">
        <v>0.56410000000000005</v>
      </c>
      <c r="P44" s="2">
        <v>0.505</v>
      </c>
      <c r="Q44" s="3" t="b">
        <f>(P44&lt;G44)</f>
        <v>1</v>
      </c>
    </row>
    <row r="45" spans="1:17">
      <c r="A45" t="s">
        <v>49</v>
      </c>
      <c r="B45">
        <v>30</v>
      </c>
      <c r="C45">
        <v>27</v>
      </c>
      <c r="D45">
        <v>27</v>
      </c>
      <c r="E45">
        <v>1</v>
      </c>
      <c r="F45">
        <v>0.9</v>
      </c>
      <c r="G45">
        <v>0.94699999999999995</v>
      </c>
      <c r="H45">
        <v>0.29399999999999998</v>
      </c>
      <c r="I45">
        <v>25</v>
      </c>
      <c r="J45">
        <v>0</v>
      </c>
      <c r="K45">
        <v>36</v>
      </c>
      <c r="L45">
        <v>1</v>
      </c>
      <c r="M45">
        <f>J45/I45</f>
        <v>0</v>
      </c>
      <c r="N45">
        <f>L45/K45</f>
        <v>2.7777777777777776E-2</v>
      </c>
      <c r="O45" s="2">
        <v>0.37040000000000001</v>
      </c>
      <c r="P45" s="2">
        <v>0.75</v>
      </c>
      <c r="Q45" s="3" t="b">
        <f>(P45&lt;G45)</f>
        <v>1</v>
      </c>
    </row>
    <row r="46" spans="1:17">
      <c r="A46" t="s">
        <v>51</v>
      </c>
      <c r="B46">
        <v>56</v>
      </c>
      <c r="C46">
        <v>52</v>
      </c>
      <c r="D46">
        <v>50</v>
      </c>
      <c r="E46">
        <v>0.96199999999999997</v>
      </c>
      <c r="F46">
        <v>0.89300000000000002</v>
      </c>
      <c r="G46">
        <v>0.92600000000000005</v>
      </c>
      <c r="H46">
        <v>0.35099999999999998</v>
      </c>
      <c r="I46">
        <v>62</v>
      </c>
      <c r="J46">
        <v>0</v>
      </c>
      <c r="K46">
        <v>64</v>
      </c>
      <c r="L46">
        <v>1</v>
      </c>
      <c r="M46">
        <f>J46/I46</f>
        <v>0</v>
      </c>
      <c r="N46">
        <f>L46/K46</f>
        <v>1.5625E-2</v>
      </c>
      <c r="O46" s="2">
        <v>0.15379999999999999</v>
      </c>
      <c r="P46" s="2">
        <v>0.88200000000000001</v>
      </c>
      <c r="Q46" s="3" t="b">
        <f>(P46&lt;G46)</f>
        <v>1</v>
      </c>
    </row>
    <row r="47" spans="1:17">
      <c r="A47" t="s">
        <v>55</v>
      </c>
      <c r="B47">
        <v>47</v>
      </c>
      <c r="C47">
        <v>42</v>
      </c>
      <c r="D47">
        <v>38</v>
      </c>
      <c r="E47">
        <v>0.90500000000000003</v>
      </c>
      <c r="F47">
        <v>0.80900000000000005</v>
      </c>
      <c r="G47">
        <v>0.85399999999999998</v>
      </c>
      <c r="H47">
        <v>0.121</v>
      </c>
      <c r="I47">
        <v>3</v>
      </c>
      <c r="J47">
        <v>0</v>
      </c>
      <c r="K47">
        <v>62</v>
      </c>
      <c r="L47">
        <v>1</v>
      </c>
      <c r="M47">
        <f>J47/I47</f>
        <v>0</v>
      </c>
      <c r="N47">
        <f>L47/K47</f>
        <v>1.6129032258064516E-2</v>
      </c>
      <c r="O47" s="2">
        <v>0.23810000000000001</v>
      </c>
      <c r="P47" s="2">
        <v>0.61799999999999999</v>
      </c>
      <c r="Q47" s="3" t="b">
        <f>(P47&lt;G47)</f>
        <v>1</v>
      </c>
    </row>
    <row r="48" spans="1:17">
      <c r="A48" t="s">
        <v>58</v>
      </c>
      <c r="B48">
        <f>AVERAGE(B2:B47)</f>
        <v>36.304347826086953</v>
      </c>
      <c r="C48">
        <f>AVERAGE(C2:C47)</f>
        <v>49</v>
      </c>
      <c r="D48">
        <f>AVERAGE(D2:D47)</f>
        <v>32.152173913043477</v>
      </c>
      <c r="E48">
        <f>AVERAGE(E2:E47)</f>
        <v>0.69806521739130434</v>
      </c>
      <c r="F48">
        <f>AVERAGE(F2:F47)</f>
        <v>0.92423913043478245</v>
      </c>
      <c r="G48">
        <f>AVERAGE(G2:G47)</f>
        <v>0.75315217391304357</v>
      </c>
      <c r="H48">
        <f>AVERAGE(H2:H47)</f>
        <v>0.12076086956521738</v>
      </c>
      <c r="I48">
        <f>AVERAGE(I2:I47)</f>
        <v>34.456521739130437</v>
      </c>
      <c r="J48">
        <f>AVERAGE(J2:J47)</f>
        <v>0.69565217391304346</v>
      </c>
      <c r="K48">
        <f>AVERAGE(K2:K47)</f>
        <v>50.043478260869563</v>
      </c>
      <c r="L48">
        <f>AVERAGE(L2:L47)</f>
        <v>2.1304347826086958</v>
      </c>
      <c r="M48">
        <f>AVERAGE(M2:M47)</f>
        <v>1.8474842698134916E-2</v>
      </c>
      <c r="N48">
        <f>AVERAGE(N2:N47)</f>
        <v>4.7217052428272434E-2</v>
      </c>
      <c r="O48">
        <f>AVERAGE(O2:O47)</f>
        <v>0.43152608695652184</v>
      </c>
    </row>
    <row r="49" spans="1:17">
      <c r="A49" t="s">
        <v>59</v>
      </c>
      <c r="B49">
        <f>MAX(B2:B47)</f>
        <v>74</v>
      </c>
      <c r="C49">
        <f>MAX(C2:C47)</f>
        <v>86</v>
      </c>
      <c r="D49">
        <f>MAX(D2:D47)</f>
        <v>52</v>
      </c>
      <c r="E49">
        <f>MAX(E2:E47)</f>
        <v>1</v>
      </c>
      <c r="F49">
        <f>MAX(F2:F47)</f>
        <v>1</v>
      </c>
      <c r="G49">
        <f>MAX(G2:G47)</f>
        <v>0.98799999999999999</v>
      </c>
      <c r="H49">
        <f>MAX(H2:H47)</f>
        <v>0.89300000000000002</v>
      </c>
      <c r="I49">
        <f>MAX(I2:I47)</f>
        <v>102</v>
      </c>
      <c r="J49">
        <f>MAX(J2:J47)</f>
        <v>8</v>
      </c>
      <c r="K49">
        <f>MAX(K2:K47)</f>
        <v>92</v>
      </c>
      <c r="L49">
        <f>MAX(L2:L47)</f>
        <v>8</v>
      </c>
      <c r="M49">
        <f>MAX(M2:M47)</f>
        <v>0.21428571428571427</v>
      </c>
      <c r="N49">
        <f>MAX(N2:N47)</f>
        <v>0.16326530612244897</v>
      </c>
      <c r="O49">
        <f>MAX(O2:O47)</f>
        <v>0.83330000000000004</v>
      </c>
    </row>
    <row r="50" spans="1:17">
      <c r="A50" t="s">
        <v>60</v>
      </c>
      <c r="B50">
        <f>MIN(B2:B47)</f>
        <v>15</v>
      </c>
      <c r="C50">
        <f>MIN(C2:C47)</f>
        <v>26</v>
      </c>
      <c r="D50">
        <f>MIN(D2:D47)</f>
        <v>15</v>
      </c>
      <c r="E50">
        <f>MIN(E2:E47)</f>
        <v>0.224</v>
      </c>
      <c r="F50">
        <f>MIN(F2:F47)</f>
        <v>0.42599999999999999</v>
      </c>
      <c r="G50">
        <f>MIN(G2:G47)</f>
        <v>0.36599999999999999</v>
      </c>
      <c r="H50">
        <f>MIN(H2:H47)</f>
        <v>-0.39300000000000002</v>
      </c>
      <c r="I50">
        <f>MIN(I2:I47)</f>
        <v>0</v>
      </c>
      <c r="J50">
        <f>MIN(J2:J47)</f>
        <v>0</v>
      </c>
      <c r="K50">
        <f>MIN(K2:K47)</f>
        <v>18</v>
      </c>
      <c r="L50">
        <f>MIN(L2:L47)</f>
        <v>0</v>
      </c>
      <c r="M50">
        <f>MIN(M2:M47)</f>
        <v>0</v>
      </c>
      <c r="N50">
        <f>MIN(N2:N47)</f>
        <v>0</v>
      </c>
      <c r="O50">
        <f>MIN(O2:O47)</f>
        <v>9.0899999999999995E-2</v>
      </c>
    </row>
    <row r="51" spans="1:17">
      <c r="B51">
        <f>AVERAGE(B31:B47)</f>
        <v>46.529411764705884</v>
      </c>
      <c r="C51">
        <f t="shared" ref="C51:Q51" si="0">AVERAGE(C31:C47)</f>
        <v>40.705882352941174</v>
      </c>
      <c r="D51">
        <f t="shared" si="0"/>
        <v>37.411764705882355</v>
      </c>
      <c r="E51">
        <f t="shared" si="0"/>
        <v>0.9343529411764705</v>
      </c>
      <c r="F51">
        <f t="shared" si="0"/>
        <v>0.83429411764705885</v>
      </c>
      <c r="G51">
        <f t="shared" si="0"/>
        <v>0.86476470588235277</v>
      </c>
      <c r="H51">
        <f t="shared" si="0"/>
        <v>9.3588235294117653E-2</v>
      </c>
      <c r="I51">
        <f t="shared" si="0"/>
        <v>32.941176470588232</v>
      </c>
      <c r="J51">
        <f t="shared" si="0"/>
        <v>0.35294117647058826</v>
      </c>
      <c r="K51">
        <f t="shared" si="0"/>
        <v>58.588235294117645</v>
      </c>
      <c r="L51">
        <f t="shared" si="0"/>
        <v>1.411764705882353</v>
      </c>
      <c r="M51">
        <f t="shared" si="0"/>
        <v>7.2988910359152569E-3</v>
      </c>
      <c r="N51">
        <f t="shared" si="0"/>
        <v>2.4210201531685033E-2</v>
      </c>
      <c r="O51">
        <f t="shared" si="0"/>
        <v>0.40323529411764708</v>
      </c>
      <c r="P51">
        <f t="shared" si="0"/>
        <v>0.69835294117647062</v>
      </c>
      <c r="Q51">
        <f>G51-P51</f>
        <v>0.16641176470588215</v>
      </c>
    </row>
    <row r="52" spans="1:17">
      <c r="B52">
        <f>AVERAGE(B2:B30)</f>
        <v>30.310344827586206</v>
      </c>
      <c r="C52">
        <f t="shared" ref="C52:P52" si="1">AVERAGE(C2:C30)</f>
        <v>53.862068965517238</v>
      </c>
      <c r="D52">
        <f t="shared" si="1"/>
        <v>29.068965517241381</v>
      </c>
      <c r="E52">
        <f t="shared" si="1"/>
        <v>0.55955172413793119</v>
      </c>
      <c r="F52">
        <f t="shared" si="1"/>
        <v>0.97696551724137937</v>
      </c>
      <c r="G52">
        <f t="shared" si="1"/>
        <v>0.68772413793103448</v>
      </c>
      <c r="H52">
        <f t="shared" si="1"/>
        <v>0.1366896551724138</v>
      </c>
      <c r="I52">
        <f t="shared" si="1"/>
        <v>35.344827586206897</v>
      </c>
      <c r="J52">
        <f t="shared" si="1"/>
        <v>0.89655172413793105</v>
      </c>
      <c r="K52">
        <f t="shared" si="1"/>
        <v>45.03448275862069</v>
      </c>
      <c r="L52">
        <f t="shared" si="1"/>
        <v>2.5517241379310347</v>
      </c>
      <c r="M52">
        <f t="shared" si="1"/>
        <v>2.5026262638056782E-2</v>
      </c>
      <c r="N52">
        <f t="shared" si="1"/>
        <v>6.0703827091789168E-2</v>
      </c>
      <c r="O52">
        <f t="shared" si="1"/>
        <v>0.44811034482758622</v>
      </c>
      <c r="P52">
        <f t="shared" si="1"/>
        <v>0.88289655172413761</v>
      </c>
      <c r="Q52">
        <f>P52-G52</f>
        <v>0.19517241379310313</v>
      </c>
    </row>
    <row r="57" spans="1:17">
      <c r="P57" t="s">
        <v>13</v>
      </c>
    </row>
    <row r="58" spans="1:17">
      <c r="P58" t="s">
        <v>17</v>
      </c>
    </row>
    <row r="59" spans="1:17">
      <c r="P59" t="s">
        <v>18</v>
      </c>
    </row>
    <row r="60" spans="1:17">
      <c r="P60" t="s">
        <v>19</v>
      </c>
    </row>
    <row r="61" spans="1:17">
      <c r="P61" t="s">
        <v>24</v>
      </c>
    </row>
    <row r="62" spans="1:17">
      <c r="P62" t="s">
        <v>26</v>
      </c>
    </row>
    <row r="63" spans="1:17">
      <c r="P63" t="s">
        <v>28</v>
      </c>
    </row>
    <row r="64" spans="1:17">
      <c r="P64" t="s">
        <v>31</v>
      </c>
    </row>
    <row r="65" spans="16:16">
      <c r="P65" t="s">
        <v>32</v>
      </c>
    </row>
    <row r="66" spans="16:16">
      <c r="P66" t="s">
        <v>33</v>
      </c>
    </row>
    <row r="67" spans="16:16">
      <c r="P67" t="s">
        <v>36</v>
      </c>
    </row>
    <row r="68" spans="16:16">
      <c r="P68" t="s">
        <v>37</v>
      </c>
    </row>
    <row r="69" spans="16:16">
      <c r="P69" t="s">
        <v>46</v>
      </c>
    </row>
    <row r="70" spans="16:16">
      <c r="P70" t="s">
        <v>48</v>
      </c>
    </row>
    <row r="71" spans="16:16">
      <c r="P71" t="s">
        <v>49</v>
      </c>
    </row>
    <row r="72" spans="16:16">
      <c r="P72" t="s">
        <v>51</v>
      </c>
    </row>
    <row r="73" spans="16:16">
      <c r="P73" t="s">
        <v>55</v>
      </c>
    </row>
  </sheetData>
  <sortState xmlns:xlrd2="http://schemas.microsoft.com/office/spreadsheetml/2017/richdata2" ref="A2:Q50">
    <sortCondition ref="Q2:Q50"/>
  </sortState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eval_step_structurer_v2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김해빈</dc:creator>
  <cp:lastModifiedBy>김해빈</cp:lastModifiedBy>
  <dcterms:created xsi:type="dcterms:W3CDTF">2025-11-28T19:09:35Z</dcterms:created>
  <dcterms:modified xsi:type="dcterms:W3CDTF">2025-12-01T14:15:34Z</dcterms:modified>
</cp:coreProperties>
</file>