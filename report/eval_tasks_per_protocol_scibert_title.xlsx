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eb/Workspaces/BioProtocol/report/"/>
    </mc:Choice>
  </mc:AlternateContent>
  <xr:revisionPtr revIDLastSave="0" documentId="8_{E8A18A49-5FEC-9540-820C-B30922794001}" xr6:coauthVersionLast="47" xr6:coauthVersionMax="47" xr10:uidLastSave="{00000000-0000-0000-0000-000000000000}"/>
  <bookViews>
    <workbookView xWindow="-37720" yWindow="-3920" windowWidth="31920" windowHeight="17380" xr2:uid="{0EBA76FE-CDF0-7D4A-820E-72B12BD4FEE1}"/>
  </bookViews>
  <sheets>
    <sheet name="eval_tasks_per_protocol_scibe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0" i="1"/>
  <c r="E50" i="1"/>
  <c r="F50" i="1"/>
  <c r="B50" i="1"/>
  <c r="C49" i="1"/>
  <c r="D49" i="1"/>
  <c r="E49" i="1"/>
  <c r="F49" i="1"/>
  <c r="B49" i="1"/>
  <c r="C48" i="1"/>
  <c r="D48" i="1"/>
  <c r="E48" i="1"/>
  <c r="F48" i="1"/>
  <c r="B48" i="1"/>
</calcChain>
</file>

<file path=xl/sharedStrings.xml><?xml version="1.0" encoding="utf-8"?>
<sst xmlns="http://schemas.openxmlformats.org/spreadsheetml/2006/main" count="78" uniqueCount="62">
  <si>
    <t>protocol_id</t>
  </si>
  <si>
    <t>num_gold</t>
  </si>
  <si>
    <t>num_pred</t>
  </si>
  <si>
    <t>precision</t>
  </si>
  <si>
    <t>recall</t>
  </si>
  <si>
    <t>f1</t>
  </si>
  <si>
    <t>Bio-protocol-1010</t>
  </si>
  <si>
    <t>Bio-protocol-1111</t>
  </si>
  <si>
    <t>Bio-protocol-1174</t>
  </si>
  <si>
    <t>Bio-protocol-1213</t>
  </si>
  <si>
    <t>Bio-protocol-1250</t>
  </si>
  <si>
    <t>Bio-protocol-1373</t>
  </si>
  <si>
    <t>Bio-protocol-1437</t>
  </si>
  <si>
    <t>Bio-protocol-1537</t>
  </si>
  <si>
    <t>Bio-protocol-1542</t>
  </si>
  <si>
    <t>Bio-protocol-1611</t>
  </si>
  <si>
    <t>Bio-protocol-1716</t>
  </si>
  <si>
    <t>Bio-protocol-1784</t>
  </si>
  <si>
    <t>Bio-protocol-1836</t>
  </si>
  <si>
    <t>Bio-protocol-1861</t>
  </si>
  <si>
    <t>Bio-protocol-2001</t>
  </si>
  <si>
    <t>Bio-protocol-2096</t>
  </si>
  <si>
    <t>Bio-protocol-2219</t>
  </si>
  <si>
    <t>Bio-protocol-2302</t>
  </si>
  <si>
    <t>Bio-protocol-2332</t>
  </si>
  <si>
    <t>Bio-protocol-2350</t>
  </si>
  <si>
    <t>Bio-protocol-2443</t>
  </si>
  <si>
    <t>Bio-protocol-2517</t>
  </si>
  <si>
    <t>Bio-protocol-2519</t>
  </si>
  <si>
    <t>Bio-protocol-2548</t>
  </si>
  <si>
    <t>Bio-protocol-2600</t>
  </si>
  <si>
    <t>Bio-protocol-2602</t>
  </si>
  <si>
    <t>Bio-protocol-2617</t>
  </si>
  <si>
    <t>Bio-protocol-2742</t>
  </si>
  <si>
    <t>Bio-protocol-2974</t>
  </si>
  <si>
    <t>Bio-protocol-3026</t>
  </si>
  <si>
    <t>Bio-protocol-3032</t>
  </si>
  <si>
    <t>Bio-protocol-3144</t>
  </si>
  <si>
    <t>Bio-protocol-3356</t>
  </si>
  <si>
    <t>Bio-protocol-3504</t>
  </si>
  <si>
    <t>Bio-protocol-3584</t>
  </si>
  <si>
    <t>Bio-protocol-3607</t>
  </si>
  <si>
    <t>Bio-protocol-3617</t>
  </si>
  <si>
    <t>Bio-protocol-3758</t>
  </si>
  <si>
    <t>Bio-protocol-3816</t>
  </si>
  <si>
    <t>Bio-protocol-3921</t>
  </si>
  <si>
    <t>Bio-protocol-3965</t>
  </si>
  <si>
    <t>Bio-protocol-611</t>
  </si>
  <si>
    <t>Bio-protocol-832</t>
  </si>
  <si>
    <t>Bio-protocol-851</t>
  </si>
  <si>
    <t>Bio-protocol-881</t>
  </si>
  <si>
    <t>Bio-protocol-972</t>
  </si>
  <si>
    <t>Metric</t>
  </si>
  <si>
    <t>평균</t>
  </si>
  <si>
    <t>Precision</t>
  </si>
  <si>
    <t>Recall</t>
  </si>
  <si>
    <t>F1 Score</t>
  </si>
  <si>
    <t>(A) methods text only</t>
    <phoneticPr fontId="18" type="noConversion"/>
  </si>
  <si>
    <t>(B) methods text + protocol title</t>
    <phoneticPr fontId="18" type="noConversion"/>
  </si>
  <si>
    <t>(A) Methods → Step Structurer</t>
    <phoneticPr fontId="18" type="noConversion"/>
  </si>
  <si>
    <t>(B) Methods → Task Planner → Step Structurer</t>
    <phoneticPr fontId="18" type="noConversion"/>
  </si>
  <si>
    <t>Order Score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</si>
</sst>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6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Task Planner</a:t>
            </a:r>
            <a:r>
              <a:rPr lang="en-US" altLang="ko-KR" baseline="0"/>
              <a:t> Evaluation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eval_tasks_per_protocol_scibert!$I$36</c:f>
              <c:strCache>
                <c:ptCount val="1"/>
                <c:pt idx="0">
                  <c:v>(A) methods text 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7E-8E42-9115-8F7B6DCD17B6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7E-8E42-9115-8F7B6DCD17B6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7E-8E42-9115-8F7B6DCD17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eval_tasks_per_protocol_scibert!$L$35:$N$35</c:f>
              <c:strCache>
                <c:ptCount val="3"/>
                <c:pt idx="0">
                  <c:v>Precision</c:v>
                </c:pt>
                <c:pt idx="1">
                  <c:v>Recall</c:v>
                </c:pt>
                <c:pt idx="2">
                  <c:v>F1 Score</c:v>
                </c:pt>
              </c:strCache>
            </c:strRef>
          </c:cat>
          <c:val>
            <c:numRef>
              <c:f>eval_tasks_per_protocol_scibert!$L$36:$N$36</c:f>
              <c:numCache>
                <c:formatCode>General</c:formatCode>
                <c:ptCount val="3"/>
                <c:pt idx="0">
                  <c:v>0.51439999999999997</c:v>
                </c:pt>
                <c:pt idx="1">
                  <c:v>0.96230000000000004</c:v>
                </c:pt>
                <c:pt idx="2">
                  <c:v>0.63339999999999996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E-8E42-9115-8F7B6DCD17B6}"/>
            </c:ext>
          </c:extLst>
        </c:ser>
        <c:ser>
          <c:idx val="1"/>
          <c:order val="1"/>
          <c:tx>
            <c:strRef>
              <c:f>eval_tasks_per_protocol_scibert!$I$37</c:f>
              <c:strCache>
                <c:ptCount val="1"/>
                <c:pt idx="0">
                  <c:v>(B) methods text + protocol title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eval_tasks_per_protocol_scibert!$L$35:$N$35</c:f>
              <c:strCache>
                <c:ptCount val="3"/>
                <c:pt idx="0">
                  <c:v>Precision</c:v>
                </c:pt>
                <c:pt idx="1">
                  <c:v>Recall</c:v>
                </c:pt>
                <c:pt idx="2">
                  <c:v>F1 Score</c:v>
                </c:pt>
              </c:strCache>
            </c:strRef>
          </c:cat>
          <c:val>
            <c:numRef>
              <c:f>eval_tasks_per_protocol_scibert!$L$37:$N$37</c:f>
              <c:numCache>
                <c:formatCode>General</c:formatCode>
                <c:ptCount val="3"/>
                <c:pt idx="0">
                  <c:v>0.72909999999999997</c:v>
                </c:pt>
                <c:pt idx="1">
                  <c:v>0.78129999999999999</c:v>
                </c:pt>
                <c:pt idx="2">
                  <c:v>0.71930000000000005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E-8E42-9115-8F7B6DCD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156560"/>
        <c:axId val="681924032"/>
      </c:barChart>
      <c:catAx>
        <c:axId val="35115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1924032"/>
        <c:crosses val="autoZero"/>
        <c:auto val="1"/>
        <c:lblAlgn val="ctr"/>
        <c:lblOffset val="100"/>
        <c:noMultiLvlLbl val="0"/>
      </c:catAx>
      <c:valAx>
        <c:axId val="6819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115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78417167726573"/>
          <c:y val="0.91285669291338578"/>
          <c:w val="0.65738396547476752"/>
          <c:h val="6.428616422947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Evaluation</a:t>
            </a:r>
            <a:r>
              <a:rPr lang="en-US" altLang="ko-KR" baseline="0"/>
              <a:t> of </a:t>
            </a:r>
            <a:r>
              <a:rPr lang="en-US" altLang="ko-KR"/>
              <a:t>Step</a:t>
            </a:r>
            <a:r>
              <a:rPr lang="ko-KR" altLang="en-US" baseline="0"/>
              <a:t> </a:t>
            </a:r>
            <a:r>
              <a:rPr lang="en-US" altLang="ko-KR" baseline="0"/>
              <a:t>Match in presence of Task Planner </a:t>
            </a:r>
            <a:br>
              <a:rPr lang="en-US" altLang="ko-KR" baseline="0"/>
            </a:br>
            <a:r>
              <a:rPr lang="en-US" altLang="ko-KR" baseline="0"/>
              <a:t>(based in token similarity) 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eval_tasks_per_protocol_scibert!$I$58</c:f>
              <c:strCache>
                <c:ptCount val="1"/>
                <c:pt idx="0">
                  <c:v>(A) Methods → Step Structurer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eval_tasks_per_protocol_scibert!$J$57:$M$57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F1 Score</c:v>
                </c:pt>
                <c:pt idx="3">
                  <c:v>Order Score</c:v>
                </c:pt>
              </c:strCache>
            </c:strRef>
          </c:cat>
          <c:val>
            <c:numRef>
              <c:f>eval_tasks_per_protocol_scibert!$J$58:$M$58</c:f>
              <c:numCache>
                <c:formatCode>General</c:formatCode>
                <c:ptCount val="4"/>
                <c:pt idx="0">
                  <c:v>0.63770000000000004</c:v>
                </c:pt>
                <c:pt idx="1">
                  <c:v>0.56920000000000004</c:v>
                </c:pt>
                <c:pt idx="2">
                  <c:v>0.57630000000000003</c:v>
                </c:pt>
                <c:pt idx="3">
                  <c:v>0.47560000000000002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A-EB4F-8E29-B4163F701D7C}"/>
            </c:ext>
          </c:extLst>
        </c:ser>
        <c:ser>
          <c:idx val="1"/>
          <c:order val="1"/>
          <c:tx>
            <c:strRef>
              <c:f>eval_tasks_per_protocol_scibert!$I$59</c:f>
              <c:strCache>
                <c:ptCount val="1"/>
                <c:pt idx="0">
                  <c:v>(B) Methods → Task Planner → Step Structurer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4.0646262776168549E-3"/>
                  <c:y val="-9.408106627183955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CA-EB4F-8E29-B4163F701D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eval_tasks_per_protocol_scibert!$J$57:$M$57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F1 Score</c:v>
                </c:pt>
                <c:pt idx="3">
                  <c:v>Order Score</c:v>
                </c:pt>
              </c:strCache>
            </c:strRef>
          </c:cat>
          <c:val>
            <c:numRef>
              <c:f>eval_tasks_per_protocol_scibert!$J$59:$M$59</c:f>
              <c:numCache>
                <c:formatCode>General</c:formatCode>
                <c:ptCount val="4"/>
                <c:pt idx="0">
                  <c:v>0.50219999999999998</c:v>
                </c:pt>
                <c:pt idx="1">
                  <c:v>0.73360000000000003</c:v>
                </c:pt>
                <c:pt idx="2">
                  <c:v>0.57730000000000004</c:v>
                </c:pt>
                <c:pt idx="3">
                  <c:v>0.54110000000000003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A-EB4F-8E29-B4163F701D7C}"/>
            </c:ext>
          </c:extLst>
        </c:ser>
        <c:ser>
          <c:idx val="2"/>
          <c:order val="2"/>
          <c:tx>
            <c:strRef>
              <c:f>eval_tasks_per_protocol_scibert!$I$60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eval_tasks_per_protocol_scibert!$J$57:$M$57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F1 Score</c:v>
                </c:pt>
                <c:pt idx="3">
                  <c:v>Order Score</c:v>
                </c:pt>
              </c:strCache>
            </c:strRef>
          </c:cat>
          <c:val>
            <c:numRef>
              <c:f>eval_tasks_per_protocol_scibert!$J$60:$M$60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59CA-EB4F-8E29-B4163F701D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3376704"/>
        <c:axId val="1475317344"/>
      </c:barChart>
      <c:catAx>
        <c:axId val="206337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5317344"/>
        <c:crosses val="autoZero"/>
        <c:auto val="1"/>
        <c:lblAlgn val="ctr"/>
        <c:lblOffset val="100"/>
        <c:noMultiLvlLbl val="0"/>
      </c:catAx>
      <c:valAx>
        <c:axId val="14753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3376704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Evaluation of Step</a:t>
            </a: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Match in presence of Task Planner </a:t>
            </a:r>
            <a:b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(based in cosine embedding by SciBERT) </a:t>
            </a:r>
            <a:endParaRPr lang="ko-KR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eval_tasks_per_protocol_scibert!$O$58</c:f>
              <c:strCache>
                <c:ptCount val="1"/>
                <c:pt idx="0">
                  <c:v>(A) Methods → Step Structurer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eval_tasks_per_protocol_scibert!$P$57:$S$57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F1 Score</c:v>
                </c:pt>
                <c:pt idx="3">
                  <c:v>Order Score</c:v>
                </c:pt>
              </c:strCache>
            </c:strRef>
          </c:cat>
          <c:val>
            <c:numRef>
              <c:f>eval_tasks_per_protocol_scibert!$P$58:$S$58</c:f>
              <c:numCache>
                <c:formatCode>General</c:formatCode>
                <c:ptCount val="4"/>
                <c:pt idx="0">
                  <c:v>0.65590000000000004</c:v>
                </c:pt>
                <c:pt idx="1">
                  <c:v>0.96930000000000005</c:v>
                </c:pt>
                <c:pt idx="2">
                  <c:v>0.75590000000000002</c:v>
                </c:pt>
                <c:pt idx="3">
                  <c:v>0.42030000000000001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B-AA4B-8145-E1CD84497FD4}"/>
            </c:ext>
          </c:extLst>
        </c:ser>
        <c:ser>
          <c:idx val="1"/>
          <c:order val="1"/>
          <c:tx>
            <c:strRef>
              <c:f>eval_tasks_per_protocol_scibert!$O$59</c:f>
              <c:strCache>
                <c:ptCount val="1"/>
                <c:pt idx="0">
                  <c:v>(B) Methods → Task Planner → Step Structurer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eval_tasks_per_protocol_scibert!$P$57:$S$57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F1 Score</c:v>
                </c:pt>
                <c:pt idx="3">
                  <c:v>Order Score</c:v>
                </c:pt>
              </c:strCache>
            </c:strRef>
          </c:cat>
          <c:val>
            <c:numRef>
              <c:f>eval_tasks_per_protocol_scibert!$P$59:$S$59</c:f>
              <c:numCache>
                <c:formatCode>General</c:formatCode>
                <c:ptCount val="4"/>
                <c:pt idx="0">
                  <c:v>0.48799999999999999</c:v>
                </c:pt>
                <c:pt idx="1">
                  <c:v>0.99819999999999998</c:v>
                </c:pt>
                <c:pt idx="2">
                  <c:v>0.64549999999999996</c:v>
                </c:pt>
                <c:pt idx="3">
                  <c:v>0.48949999999999999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B-AA4B-8145-E1CD84497F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2541040"/>
        <c:axId val="1496763584"/>
      </c:barChart>
      <c:catAx>
        <c:axId val="150254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6763584"/>
        <c:crosses val="autoZero"/>
        <c:auto val="1"/>
        <c:lblAlgn val="ctr"/>
        <c:lblOffset val="100"/>
        <c:noMultiLvlLbl val="0"/>
      </c:catAx>
      <c:valAx>
        <c:axId val="1496763584"/>
        <c:scaling>
          <c:orientation val="minMax"/>
          <c:max val="1.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2541040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742950</xdr:colOff>
      <xdr:row>37</xdr:row>
      <xdr:rowOff>184150</xdr:rowOff>
    </xdr:from>
    <xdr:to>
      <xdr:col>12</xdr:col>
      <xdr:colOff>762000</xdr:colOff>
      <xdr:row>52</xdr:row>
      <xdr:rowOff>88900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3013DD-0459-0484-8481-526EAFBAF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73623</xdr:colOff>
      <xdr:row>61</xdr:row>
      <xdr:rowOff>200624</xdr:rowOff>
    </xdr:from>
    <xdr:to>
      <xdr:col>12</xdr:col>
      <xdr:colOff>0</xdr:colOff>
      <xdr:row>80</xdr:row>
      <xdr:rowOff>185942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A3EF380-E471-6759-6356-16D0CD0EA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260350</xdr:colOff>
      <xdr:row>61</xdr:row>
      <xdr:rowOff>190500</xdr:rowOff>
    </xdr:from>
    <xdr:to>
      <xdr:col>19</xdr:col>
      <xdr:colOff>355600</xdr:colOff>
      <xdr:row>80</xdr:row>
      <xdr:rowOff>177800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43CC353-D3CF-481E-430D-2EBAF0A16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3BA3-F0D8-E640-A5EC-B6159A6B0ADA}">
  <dimension ref="A1:S59"/>
  <sheetViews>
    <sheetView tabSelected="1" topLeftCell="A2" zoomScale="50" workbookViewId="0">
      <selection activeCell="S62" sqref="S62"/>
    </sheetView>
  </sheetViews>
  <sheetFormatPr baseColWidth="10" defaultRowHeight="18"/>
  <cols>
    <col min="1" max="1" width="20.5703125" customWidth="1"/>
    <col min="9" max="9" width="31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</v>
      </c>
      <c r="C2">
        <v>7</v>
      </c>
      <c r="D2">
        <v>0.71430000000000005</v>
      </c>
      <c r="E2">
        <v>1</v>
      </c>
      <c r="F2">
        <v>0.83330000000000004</v>
      </c>
    </row>
    <row r="3" spans="1:6">
      <c r="A3" t="s">
        <v>7</v>
      </c>
      <c r="B3">
        <v>6</v>
      </c>
      <c r="C3">
        <v>4</v>
      </c>
      <c r="D3">
        <v>1</v>
      </c>
      <c r="E3">
        <v>0.66669999999999996</v>
      </c>
      <c r="F3">
        <v>0.8</v>
      </c>
    </row>
    <row r="4" spans="1:6">
      <c r="A4" t="s">
        <v>8</v>
      </c>
      <c r="B4">
        <v>6</v>
      </c>
      <c r="C4">
        <v>5</v>
      </c>
      <c r="D4">
        <v>1</v>
      </c>
      <c r="E4">
        <v>0.83330000000000004</v>
      </c>
      <c r="F4">
        <v>0.90910000000000002</v>
      </c>
    </row>
    <row r="5" spans="1:6">
      <c r="A5" t="s">
        <v>9</v>
      </c>
      <c r="B5">
        <v>6</v>
      </c>
      <c r="C5">
        <v>5</v>
      </c>
      <c r="D5">
        <v>0.6</v>
      </c>
      <c r="E5">
        <v>0.5</v>
      </c>
      <c r="F5">
        <v>0.54549999999999998</v>
      </c>
    </row>
    <row r="6" spans="1:6">
      <c r="A6" t="s">
        <v>10</v>
      </c>
      <c r="B6">
        <v>4</v>
      </c>
      <c r="C6">
        <v>6</v>
      </c>
      <c r="D6">
        <v>0.66669999999999996</v>
      </c>
      <c r="E6">
        <v>1</v>
      </c>
      <c r="F6">
        <v>0.8</v>
      </c>
    </row>
    <row r="7" spans="1:6">
      <c r="A7" t="s">
        <v>11</v>
      </c>
      <c r="B7">
        <v>3</v>
      </c>
      <c r="C7">
        <v>4</v>
      </c>
      <c r="D7">
        <v>0.75</v>
      </c>
      <c r="E7">
        <v>1</v>
      </c>
      <c r="F7">
        <v>0.85709999999999997</v>
      </c>
    </row>
    <row r="8" spans="1:6">
      <c r="A8" t="s">
        <v>12</v>
      </c>
      <c r="B8">
        <v>3</v>
      </c>
      <c r="C8">
        <v>6</v>
      </c>
      <c r="D8">
        <v>0.5</v>
      </c>
      <c r="E8">
        <v>1</v>
      </c>
      <c r="F8">
        <v>0.66669999999999996</v>
      </c>
    </row>
    <row r="9" spans="1:6">
      <c r="A9" t="s">
        <v>13</v>
      </c>
      <c r="B9">
        <v>4</v>
      </c>
      <c r="C9">
        <v>8</v>
      </c>
      <c r="D9">
        <v>0.5</v>
      </c>
      <c r="E9">
        <v>1</v>
      </c>
      <c r="F9">
        <v>0.66669999999999996</v>
      </c>
    </row>
    <row r="10" spans="1:6">
      <c r="A10" t="s">
        <v>14</v>
      </c>
      <c r="B10">
        <v>5</v>
      </c>
      <c r="C10">
        <v>8</v>
      </c>
      <c r="D10">
        <v>0.625</v>
      </c>
      <c r="E10">
        <v>1</v>
      </c>
      <c r="F10">
        <v>0.76919999999999999</v>
      </c>
    </row>
    <row r="11" spans="1:6">
      <c r="A11" t="s">
        <v>15</v>
      </c>
      <c r="B11">
        <v>6</v>
      </c>
      <c r="C11">
        <v>9</v>
      </c>
      <c r="D11">
        <v>0.66669999999999996</v>
      </c>
      <c r="E11">
        <v>1</v>
      </c>
      <c r="F11">
        <v>0.8</v>
      </c>
    </row>
    <row r="12" spans="1:6">
      <c r="A12" t="s">
        <v>16</v>
      </c>
      <c r="B12">
        <v>4</v>
      </c>
      <c r="C12">
        <v>5</v>
      </c>
      <c r="D12">
        <v>0.6</v>
      </c>
      <c r="E12">
        <v>0.75</v>
      </c>
      <c r="F12">
        <v>0.66669999999999996</v>
      </c>
    </row>
    <row r="13" spans="1:6">
      <c r="A13" t="s">
        <v>17</v>
      </c>
      <c r="B13">
        <v>13</v>
      </c>
      <c r="C13">
        <v>5</v>
      </c>
      <c r="D13">
        <v>1</v>
      </c>
      <c r="E13">
        <v>0.3846</v>
      </c>
      <c r="F13">
        <v>0.55559999999999998</v>
      </c>
    </row>
    <row r="14" spans="1:6">
      <c r="A14" t="s">
        <v>18</v>
      </c>
      <c r="B14">
        <v>7</v>
      </c>
      <c r="C14">
        <v>6</v>
      </c>
      <c r="D14">
        <v>0.83330000000000004</v>
      </c>
      <c r="E14">
        <v>0.71430000000000005</v>
      </c>
      <c r="F14">
        <v>0.76919999999999999</v>
      </c>
    </row>
    <row r="15" spans="1:6">
      <c r="A15" t="s">
        <v>19</v>
      </c>
      <c r="B15">
        <v>2</v>
      </c>
      <c r="C15">
        <v>4</v>
      </c>
      <c r="D15">
        <v>0.25</v>
      </c>
      <c r="E15">
        <v>0.5</v>
      </c>
      <c r="F15">
        <v>0.33329999999999999</v>
      </c>
    </row>
    <row r="16" spans="1:6">
      <c r="A16" t="s">
        <v>20</v>
      </c>
      <c r="B16">
        <v>5</v>
      </c>
      <c r="C16">
        <v>6</v>
      </c>
      <c r="D16">
        <v>0.83330000000000004</v>
      </c>
      <c r="E16">
        <v>1</v>
      </c>
      <c r="F16">
        <v>0.90910000000000002</v>
      </c>
    </row>
    <row r="17" spans="1:11">
      <c r="A17" t="s">
        <v>21</v>
      </c>
      <c r="B17">
        <v>6</v>
      </c>
      <c r="C17">
        <v>6</v>
      </c>
      <c r="D17">
        <v>0.66669999999999996</v>
      </c>
      <c r="E17">
        <v>0.66669999999999996</v>
      </c>
      <c r="F17">
        <v>0.66669999999999996</v>
      </c>
    </row>
    <row r="18" spans="1:11">
      <c r="A18" t="s">
        <v>22</v>
      </c>
      <c r="B18">
        <v>5</v>
      </c>
      <c r="C18">
        <v>5</v>
      </c>
      <c r="D18">
        <v>1</v>
      </c>
      <c r="E18">
        <v>1</v>
      </c>
      <c r="F18">
        <v>1</v>
      </c>
    </row>
    <row r="19" spans="1:11">
      <c r="A19" t="s">
        <v>23</v>
      </c>
      <c r="B19">
        <v>7</v>
      </c>
      <c r="C19">
        <v>5</v>
      </c>
      <c r="D19">
        <v>1</v>
      </c>
      <c r="E19">
        <v>0.71430000000000005</v>
      </c>
      <c r="F19">
        <v>0.83330000000000004</v>
      </c>
    </row>
    <row r="20" spans="1:11">
      <c r="A20" t="s">
        <v>24</v>
      </c>
      <c r="B20">
        <v>8</v>
      </c>
      <c r="C20">
        <v>4</v>
      </c>
      <c r="D20">
        <v>1</v>
      </c>
      <c r="E20">
        <v>0.5</v>
      </c>
      <c r="F20">
        <v>0.66669999999999996</v>
      </c>
    </row>
    <row r="21" spans="1:11">
      <c r="A21" t="s">
        <v>25</v>
      </c>
      <c r="B21">
        <v>4</v>
      </c>
      <c r="C21">
        <v>9</v>
      </c>
      <c r="D21">
        <v>0.44440000000000002</v>
      </c>
      <c r="E21">
        <v>1</v>
      </c>
      <c r="F21">
        <v>0.61539999999999995</v>
      </c>
    </row>
    <row r="22" spans="1:11">
      <c r="A22" t="s">
        <v>26</v>
      </c>
      <c r="B22">
        <v>8</v>
      </c>
      <c r="C22">
        <v>8</v>
      </c>
      <c r="D22">
        <v>0.875</v>
      </c>
      <c r="E22">
        <v>0.875</v>
      </c>
      <c r="F22">
        <v>0.875</v>
      </c>
    </row>
    <row r="23" spans="1:11">
      <c r="A23" t="s">
        <v>27</v>
      </c>
      <c r="B23">
        <v>6</v>
      </c>
      <c r="C23">
        <v>7</v>
      </c>
      <c r="D23">
        <v>0.71430000000000005</v>
      </c>
      <c r="E23">
        <v>0.83330000000000004</v>
      </c>
      <c r="F23">
        <v>0.76919999999999999</v>
      </c>
    </row>
    <row r="24" spans="1:11">
      <c r="A24" t="s">
        <v>28</v>
      </c>
      <c r="B24">
        <v>6</v>
      </c>
      <c r="C24">
        <v>8</v>
      </c>
      <c r="D24">
        <v>0.625</v>
      </c>
      <c r="E24">
        <v>0.83330000000000004</v>
      </c>
      <c r="F24">
        <v>0.71430000000000005</v>
      </c>
    </row>
    <row r="25" spans="1:11">
      <c r="A25" t="s">
        <v>29</v>
      </c>
      <c r="B25">
        <v>3</v>
      </c>
      <c r="C25">
        <v>5</v>
      </c>
      <c r="D25">
        <v>0.4</v>
      </c>
      <c r="E25">
        <v>0.66669999999999996</v>
      </c>
      <c r="F25">
        <v>0.5</v>
      </c>
    </row>
    <row r="26" spans="1:11">
      <c r="A26" t="s">
        <v>30</v>
      </c>
      <c r="B26">
        <v>3</v>
      </c>
      <c r="C26">
        <v>3</v>
      </c>
      <c r="D26">
        <v>0.66669999999999996</v>
      </c>
      <c r="E26">
        <v>0.66669999999999996</v>
      </c>
      <c r="F26">
        <v>0.66669999999999996</v>
      </c>
    </row>
    <row r="27" spans="1:11">
      <c r="A27" t="s">
        <v>31</v>
      </c>
      <c r="B27">
        <v>3</v>
      </c>
      <c r="C27">
        <v>7</v>
      </c>
      <c r="D27">
        <v>0.42859999999999998</v>
      </c>
      <c r="E27">
        <v>1</v>
      </c>
      <c r="F27">
        <v>0.6</v>
      </c>
      <c r="I27" s="1" t="s">
        <v>52</v>
      </c>
      <c r="J27" s="1" t="s">
        <v>53</v>
      </c>
    </row>
    <row r="28" spans="1:11">
      <c r="A28" t="s">
        <v>32</v>
      </c>
      <c r="B28">
        <v>3</v>
      </c>
      <c r="C28">
        <v>5</v>
      </c>
      <c r="D28">
        <v>0.6</v>
      </c>
      <c r="E28">
        <v>1</v>
      </c>
      <c r="F28">
        <v>0.75</v>
      </c>
      <c r="I28" t="s">
        <v>1</v>
      </c>
      <c r="J28">
        <v>5.34</v>
      </c>
      <c r="K28">
        <v>5.34</v>
      </c>
    </row>
    <row r="29" spans="1:11">
      <c r="A29" t="s">
        <v>33</v>
      </c>
      <c r="B29">
        <v>2</v>
      </c>
      <c r="C29">
        <v>6</v>
      </c>
      <c r="D29">
        <v>0.33329999999999999</v>
      </c>
      <c r="E29">
        <v>1</v>
      </c>
      <c r="F29">
        <v>0.5</v>
      </c>
      <c r="I29" t="s">
        <v>2</v>
      </c>
      <c r="J29">
        <v>5.47</v>
      </c>
      <c r="K29">
        <v>10.28</v>
      </c>
    </row>
    <row r="30" spans="1:11">
      <c r="A30" t="s">
        <v>34</v>
      </c>
      <c r="B30">
        <v>3</v>
      </c>
      <c r="C30">
        <v>3</v>
      </c>
      <c r="D30">
        <v>0.66669999999999996</v>
      </c>
      <c r="E30">
        <v>0.66669999999999996</v>
      </c>
      <c r="F30">
        <v>0.66669999999999996</v>
      </c>
      <c r="I30" t="s">
        <v>54</v>
      </c>
      <c r="J30">
        <v>0.72909999999999997</v>
      </c>
      <c r="K30">
        <v>0.51439999999999997</v>
      </c>
    </row>
    <row r="31" spans="1:11">
      <c r="A31" t="s">
        <v>35</v>
      </c>
      <c r="B31">
        <v>4</v>
      </c>
      <c r="C31">
        <v>4</v>
      </c>
      <c r="D31">
        <v>1</v>
      </c>
      <c r="E31">
        <v>1</v>
      </c>
      <c r="F31">
        <v>1</v>
      </c>
      <c r="I31" t="s">
        <v>55</v>
      </c>
      <c r="J31">
        <v>0.78129999999999999</v>
      </c>
      <c r="K31">
        <v>0.96230000000000004</v>
      </c>
    </row>
    <row r="32" spans="1:11">
      <c r="A32" t="s">
        <v>36</v>
      </c>
      <c r="B32">
        <v>4</v>
      </c>
      <c r="C32">
        <v>4</v>
      </c>
      <c r="D32">
        <v>1</v>
      </c>
      <c r="E32">
        <v>1</v>
      </c>
      <c r="F32">
        <v>1</v>
      </c>
      <c r="I32" t="s">
        <v>56</v>
      </c>
      <c r="J32">
        <v>0.71930000000000005</v>
      </c>
      <c r="K32">
        <v>0.63339999999999996</v>
      </c>
    </row>
    <row r="33" spans="1:14">
      <c r="A33" t="s">
        <v>37</v>
      </c>
      <c r="B33">
        <v>3</v>
      </c>
      <c r="C33">
        <v>4</v>
      </c>
      <c r="D33">
        <v>0.5</v>
      </c>
      <c r="E33">
        <v>0.66669999999999996</v>
      </c>
      <c r="F33">
        <v>0.57140000000000002</v>
      </c>
    </row>
    <row r="34" spans="1:14">
      <c r="A34" t="s">
        <v>38</v>
      </c>
      <c r="B34">
        <v>3</v>
      </c>
      <c r="C34">
        <v>3</v>
      </c>
      <c r="D34">
        <v>0.66669999999999996</v>
      </c>
      <c r="E34">
        <v>0.66669999999999996</v>
      </c>
      <c r="F34">
        <v>0.66669999999999996</v>
      </c>
    </row>
    <row r="35" spans="1:14">
      <c r="A35" t="s">
        <v>39</v>
      </c>
      <c r="B35">
        <v>4</v>
      </c>
      <c r="C35">
        <v>5</v>
      </c>
      <c r="D35">
        <v>0.8</v>
      </c>
      <c r="E35">
        <v>1</v>
      </c>
      <c r="F35">
        <v>0.88890000000000002</v>
      </c>
      <c r="I35" s="1"/>
      <c r="J35" t="s">
        <v>1</v>
      </c>
      <c r="K35" t="s">
        <v>2</v>
      </c>
      <c r="L35" t="s">
        <v>54</v>
      </c>
      <c r="M35" t="s">
        <v>55</v>
      </c>
      <c r="N35" t="s">
        <v>56</v>
      </c>
    </row>
    <row r="36" spans="1:14">
      <c r="A36" t="s">
        <v>40</v>
      </c>
      <c r="B36">
        <v>8</v>
      </c>
      <c r="C36">
        <v>4</v>
      </c>
      <c r="D36">
        <v>1</v>
      </c>
      <c r="E36">
        <v>0.5</v>
      </c>
      <c r="F36">
        <v>0.66669999999999996</v>
      </c>
      <c r="I36" s="1" t="s">
        <v>57</v>
      </c>
      <c r="J36">
        <v>5.34</v>
      </c>
      <c r="K36">
        <v>10.28</v>
      </c>
      <c r="L36">
        <v>0.51439999999999997</v>
      </c>
      <c r="M36">
        <v>0.96230000000000004</v>
      </c>
      <c r="N36">
        <v>0.63339999999999996</v>
      </c>
    </row>
    <row r="37" spans="1:14">
      <c r="A37" t="s">
        <v>41</v>
      </c>
      <c r="B37">
        <v>4</v>
      </c>
      <c r="C37">
        <v>6</v>
      </c>
      <c r="D37">
        <v>0.66669999999999996</v>
      </c>
      <c r="E37">
        <v>1</v>
      </c>
      <c r="F37">
        <v>0.8</v>
      </c>
      <c r="I37" s="1" t="s">
        <v>58</v>
      </c>
      <c r="J37">
        <v>5.34</v>
      </c>
      <c r="K37">
        <v>5.47</v>
      </c>
      <c r="L37">
        <v>0.72909999999999997</v>
      </c>
      <c r="M37">
        <v>0.78129999999999999</v>
      </c>
      <c r="N37">
        <v>0.71930000000000005</v>
      </c>
    </row>
    <row r="38" spans="1:14">
      <c r="A38" t="s">
        <v>42</v>
      </c>
      <c r="B38">
        <v>4</v>
      </c>
      <c r="C38">
        <v>5</v>
      </c>
      <c r="D38">
        <v>0.8</v>
      </c>
      <c r="E38">
        <v>1</v>
      </c>
      <c r="F38">
        <v>0.88890000000000002</v>
      </c>
    </row>
    <row r="39" spans="1:14">
      <c r="A39" t="s">
        <v>43</v>
      </c>
      <c r="B39">
        <v>5</v>
      </c>
      <c r="C39">
        <v>3</v>
      </c>
      <c r="D39">
        <v>1</v>
      </c>
      <c r="E39">
        <v>0.6</v>
      </c>
      <c r="F39">
        <v>0.75</v>
      </c>
    </row>
    <row r="40" spans="1:14">
      <c r="A40" t="s">
        <v>44</v>
      </c>
      <c r="B40">
        <v>10</v>
      </c>
      <c r="C40">
        <v>5</v>
      </c>
      <c r="D40">
        <v>0.8</v>
      </c>
      <c r="E40">
        <v>0.4</v>
      </c>
      <c r="F40">
        <v>0.5333</v>
      </c>
    </row>
    <row r="41" spans="1:14">
      <c r="A41" t="s">
        <v>45</v>
      </c>
      <c r="B41">
        <v>6</v>
      </c>
      <c r="C41">
        <v>6</v>
      </c>
      <c r="D41">
        <v>0.66669999999999996</v>
      </c>
      <c r="E41">
        <v>0.66669999999999996</v>
      </c>
      <c r="F41">
        <v>0.66669999999999996</v>
      </c>
    </row>
    <row r="42" spans="1:14">
      <c r="A42" t="s">
        <v>46</v>
      </c>
      <c r="B42">
        <v>12</v>
      </c>
      <c r="C42">
        <v>7</v>
      </c>
      <c r="D42">
        <v>1</v>
      </c>
      <c r="E42">
        <v>0.58330000000000004</v>
      </c>
      <c r="F42">
        <v>0.73680000000000001</v>
      </c>
    </row>
    <row r="43" spans="1:14">
      <c r="A43" t="s">
        <v>47</v>
      </c>
      <c r="B43">
        <v>6</v>
      </c>
      <c r="C43">
        <v>3</v>
      </c>
      <c r="D43">
        <v>0.33329999999999999</v>
      </c>
      <c r="E43">
        <v>0.16669999999999999</v>
      </c>
      <c r="F43">
        <v>0.22220000000000001</v>
      </c>
    </row>
    <row r="44" spans="1:14">
      <c r="A44" t="s">
        <v>48</v>
      </c>
      <c r="B44">
        <v>5</v>
      </c>
      <c r="C44">
        <v>4</v>
      </c>
      <c r="D44">
        <v>1</v>
      </c>
      <c r="E44">
        <v>0.8</v>
      </c>
      <c r="F44">
        <v>0.88890000000000002</v>
      </c>
    </row>
    <row r="45" spans="1:14">
      <c r="A45" t="s">
        <v>49</v>
      </c>
      <c r="B45">
        <v>5</v>
      </c>
      <c r="C45">
        <v>7</v>
      </c>
      <c r="D45">
        <v>0.57140000000000002</v>
      </c>
      <c r="E45">
        <v>0.8</v>
      </c>
      <c r="F45">
        <v>0.66669999999999996</v>
      </c>
    </row>
    <row r="46" spans="1:14">
      <c r="A46" t="s">
        <v>50</v>
      </c>
      <c r="B46">
        <v>9</v>
      </c>
      <c r="C46">
        <v>4</v>
      </c>
      <c r="D46">
        <v>1</v>
      </c>
      <c r="E46">
        <v>0.44440000000000002</v>
      </c>
      <c r="F46">
        <v>0.61539999999999995</v>
      </c>
    </row>
    <row r="47" spans="1:14">
      <c r="A47" t="s">
        <v>51</v>
      </c>
      <c r="B47">
        <v>8</v>
      </c>
      <c r="C47">
        <v>9</v>
      </c>
      <c r="D47">
        <v>0.77780000000000005</v>
      </c>
      <c r="E47">
        <v>0.875</v>
      </c>
      <c r="F47">
        <v>0.82350000000000001</v>
      </c>
    </row>
    <row r="48" spans="1:14">
      <c r="B48">
        <f>AVERAGE(B2:B47)</f>
        <v>5.3478260869565215</v>
      </c>
      <c r="C48">
        <f t="shared" ref="C48:F48" si="0">AVERAGE(C2:C47)</f>
        <v>5.4782608695652177</v>
      </c>
      <c r="D48">
        <f t="shared" si="0"/>
        <v>0.72918695652173893</v>
      </c>
      <c r="E48">
        <f t="shared" si="0"/>
        <v>0.78132826086956508</v>
      </c>
      <c r="F48">
        <f t="shared" si="0"/>
        <v>0.71938260869565218</v>
      </c>
    </row>
    <row r="49" spans="2:19">
      <c r="B49">
        <f>MAX(B2:B47)</f>
        <v>13</v>
      </c>
      <c r="C49">
        <f t="shared" ref="C49:F49" si="1">MAX(C2:C47)</f>
        <v>9</v>
      </c>
      <c r="D49">
        <f t="shared" si="1"/>
        <v>1</v>
      </c>
      <c r="E49">
        <f t="shared" si="1"/>
        <v>1</v>
      </c>
      <c r="F49">
        <f t="shared" si="1"/>
        <v>1</v>
      </c>
    </row>
    <row r="50" spans="2:19">
      <c r="B50">
        <f>MIN(B2:B47)</f>
        <v>2</v>
      </c>
      <c r="C50">
        <f t="shared" ref="C50:F50" si="2">MIN(C2:C47)</f>
        <v>3</v>
      </c>
      <c r="D50">
        <f t="shared" si="2"/>
        <v>0.25</v>
      </c>
      <c r="E50">
        <f t="shared" si="2"/>
        <v>0.16669999999999999</v>
      </c>
      <c r="F50">
        <f t="shared" si="2"/>
        <v>0.22220000000000001</v>
      </c>
    </row>
    <row r="57" spans="2:19">
      <c r="I57" s="1"/>
      <c r="J57" t="s">
        <v>54</v>
      </c>
      <c r="K57" t="s">
        <v>55</v>
      </c>
      <c r="L57" t="s">
        <v>56</v>
      </c>
      <c r="M57" t="s">
        <v>61</v>
      </c>
      <c r="O57" s="1"/>
      <c r="P57" t="s">
        <v>54</v>
      </c>
      <c r="Q57" t="s">
        <v>55</v>
      </c>
      <c r="R57" t="s">
        <v>56</v>
      </c>
      <c r="S57" t="s">
        <v>61</v>
      </c>
    </row>
    <row r="58" spans="2:19">
      <c r="I58" s="1" t="s">
        <v>59</v>
      </c>
      <c r="J58">
        <v>0.63770000000000004</v>
      </c>
      <c r="K58">
        <v>0.56920000000000004</v>
      </c>
      <c r="L58">
        <v>0.57630000000000003</v>
      </c>
      <c r="M58">
        <v>0.47560000000000002</v>
      </c>
      <c r="O58" s="1" t="s">
        <v>59</v>
      </c>
      <c r="P58">
        <v>0.65590000000000004</v>
      </c>
      <c r="Q58">
        <v>0.96930000000000005</v>
      </c>
      <c r="R58">
        <v>0.75590000000000002</v>
      </c>
      <c r="S58">
        <v>0.42030000000000001</v>
      </c>
    </row>
    <row r="59" spans="2:19">
      <c r="I59" s="1" t="s">
        <v>60</v>
      </c>
      <c r="J59">
        <v>0.50219999999999998</v>
      </c>
      <c r="K59">
        <v>0.73360000000000003</v>
      </c>
      <c r="L59">
        <v>0.57730000000000004</v>
      </c>
      <c r="M59">
        <v>0.54110000000000003</v>
      </c>
      <c r="O59" s="1" t="s">
        <v>60</v>
      </c>
      <c r="P59">
        <v>0.48799999999999999</v>
      </c>
      <c r="Q59">
        <v>0.99819999999999998</v>
      </c>
      <c r="R59">
        <v>0.64549999999999996</v>
      </c>
      <c r="S59">
        <v>0.48949999999999999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eval_tasks_per_protocol_scibert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김해빈</dc:creator>
  <cp:lastModifiedBy>김해빈</cp:lastModifiedBy>
  <dcterms:created xsi:type="dcterms:W3CDTF">2025-12-04T20:43:10Z</dcterms:created>
  <dcterms:modified xsi:type="dcterms:W3CDTF">2025-12-04T20:43:10Z</dcterms:modified>
</cp:coreProperties>
</file>