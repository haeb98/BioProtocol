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eb/Workspaces/BioProtocol/report/"/>
    </mc:Choice>
  </mc:AlternateContent>
  <xr:revisionPtr revIDLastSave="0" documentId="13_ncr:9_{B123878C-3CCB-284B-9175-45D6669E66B9}" xr6:coauthVersionLast="47" xr6:coauthVersionMax="47" xr10:uidLastSave="{00000000-0000-0000-0000-000000000000}"/>
  <bookViews>
    <workbookView xWindow="-31520" yWindow="-4460" windowWidth="28100" windowHeight="17380" xr2:uid="{8EBF5604-3B7E-0645-88EF-570EE6BD1BC6}"/>
  </bookViews>
  <sheets>
    <sheet name="eval_tasks_per_protocol_scibert" sheetId="1" r:id="rId1"/>
  </sheets>
  <definedNames>
    <definedName name="_xlchart.v1.0" hidden="1">eval_tasks_per_protocol_scibert!$D$1</definedName>
    <definedName name="_xlchart.v1.1" hidden="1">eval_tasks_per_protocol_scibert!$D$2:$D$51</definedName>
    <definedName name="_xlchart.v1.2" hidden="1">eval_tasks_per_protocol_scibert!$G$1</definedName>
    <definedName name="_xlchart.v1.3" hidden="1">eval_tasks_per_protocol_scibert!$G$2:$G$51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F50" i="1"/>
  <c r="B50" i="1"/>
  <c r="C49" i="1"/>
  <c r="E49" i="1"/>
  <c r="F49" i="1"/>
  <c r="G49" i="1"/>
  <c r="B49" i="1"/>
  <c r="C48" i="1"/>
  <c r="C50" i="1" s="1"/>
  <c r="E48" i="1"/>
  <c r="E50" i="1" s="1"/>
  <c r="F48" i="1"/>
  <c r="G48" i="1"/>
  <c r="G50" i="1" s="1"/>
  <c r="B48" i="1"/>
</calcChain>
</file>

<file path=xl/sharedStrings.xml><?xml version="1.0" encoding="utf-8"?>
<sst xmlns="http://schemas.openxmlformats.org/spreadsheetml/2006/main" count="53" uniqueCount="53">
  <si>
    <t>protocol_id</t>
  </si>
  <si>
    <t>num_gold</t>
  </si>
  <si>
    <t>num_pred</t>
  </si>
  <si>
    <t>precision</t>
  </si>
  <si>
    <t>recall</t>
  </si>
  <si>
    <t>f1</t>
  </si>
  <si>
    <t>Bio-protocol-1010</t>
  </si>
  <si>
    <t>Bio-protocol-1111</t>
  </si>
  <si>
    <t>Bio-protocol-1174</t>
  </si>
  <si>
    <t>Bio-protocol-1213</t>
  </si>
  <si>
    <t>Bio-protocol-1250</t>
  </si>
  <si>
    <t>Bio-protocol-1373</t>
  </si>
  <si>
    <t>Bio-protocol-1437</t>
  </si>
  <si>
    <t>Bio-protocol-1537</t>
  </si>
  <si>
    <t>Bio-protocol-1542</t>
  </si>
  <si>
    <t>Bio-protocol-1611</t>
  </si>
  <si>
    <t>Bio-protocol-1716</t>
  </si>
  <si>
    <t>Bio-protocol-1784</t>
  </si>
  <si>
    <t>Bio-protocol-1836</t>
  </si>
  <si>
    <t>Bio-protocol-1861</t>
  </si>
  <si>
    <t>Bio-protocol-2001</t>
  </si>
  <si>
    <t>Bio-protocol-2096</t>
  </si>
  <si>
    <t>Bio-protocol-2219</t>
  </si>
  <si>
    <t>Bio-protocol-2302</t>
  </si>
  <si>
    <t>Bio-protocol-2332</t>
  </si>
  <si>
    <t>Bio-protocol-2350</t>
  </si>
  <si>
    <t>Bio-protocol-2443</t>
  </si>
  <si>
    <t>Bio-protocol-2517</t>
  </si>
  <si>
    <t>Bio-protocol-2519</t>
  </si>
  <si>
    <t>Bio-protocol-2548</t>
  </si>
  <si>
    <t>Bio-protocol-2600</t>
  </si>
  <si>
    <t>Bio-protocol-2602</t>
  </si>
  <si>
    <t>Bio-protocol-2617</t>
  </si>
  <si>
    <t>Bio-protocol-2742</t>
  </si>
  <si>
    <t>Bio-protocol-2974</t>
  </si>
  <si>
    <t>Bio-protocol-3026</t>
  </si>
  <si>
    <t>Bio-protocol-3032</t>
  </si>
  <si>
    <t>Bio-protocol-3144</t>
  </si>
  <si>
    <t>Bio-protocol-3504</t>
  </si>
  <si>
    <t>Bio-protocol-3584</t>
  </si>
  <si>
    <t>Bio-protocol-3607</t>
  </si>
  <si>
    <t>Bio-protocol-3617</t>
  </si>
  <si>
    <t>Bio-protocol-3758</t>
  </si>
  <si>
    <t>Bio-protocol-3816</t>
  </si>
  <si>
    <t>Bio-protocol-3921</t>
  </si>
  <si>
    <t>Bio-protocol-3965</t>
  </si>
  <si>
    <t>Bio-protocol-611</t>
  </si>
  <si>
    <t>Bio-protocol-832</t>
  </si>
  <si>
    <t>Bio-protocol-851</t>
  </si>
  <si>
    <t>Bio-protocol-881</t>
  </si>
  <si>
    <t>Bio-protocol-972</t>
  </si>
  <si>
    <t>delta(pred-gold)</t>
    <phoneticPr fontId="18" type="noConversion"/>
  </si>
  <si>
    <t>Bio-protocol-3356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</si>
</sst>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eval_tasks_per_protocol_scibert!$E$1</c:f>
              <c:strCache>
                <c:ptCount val="1"/>
                <c:pt idx="0">
                  <c:v>precision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eval_tasks_per_protocol_scibert!$D$2:$D$51</c:f>
              <c:numCache>
                <c:formatCode>General</c:formatCode>
                <c:ptCount val="50"/>
                <c:pt idx="0">
                  <c:v>2</c:v>
                </c:pt>
                <c:pt idx="1">
                  <c:v>-1</c:v>
                </c:pt>
                <c:pt idx="2">
                  <c:v>6</c:v>
                </c:pt>
                <c:pt idx="3">
                  <c:v>0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3</c:v>
                </c:pt>
                <c:pt idx="11">
                  <c:v>-4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4</c:v>
                </c:pt>
                <c:pt idx="19">
                  <c:v>8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7</c:v>
                </c:pt>
                <c:pt idx="24">
                  <c:v>8</c:v>
                </c:pt>
                <c:pt idx="25">
                  <c:v>7</c:v>
                </c:pt>
                <c:pt idx="26">
                  <c:v>4</c:v>
                </c:pt>
                <c:pt idx="27">
                  <c:v>6</c:v>
                </c:pt>
                <c:pt idx="28">
                  <c:v>9</c:v>
                </c:pt>
                <c:pt idx="29">
                  <c:v>8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8</c:v>
                </c:pt>
                <c:pt idx="34">
                  <c:v>4</c:v>
                </c:pt>
                <c:pt idx="35">
                  <c:v>5</c:v>
                </c:pt>
                <c:pt idx="36">
                  <c:v>4</c:v>
                </c:pt>
                <c:pt idx="37">
                  <c:v>7</c:v>
                </c:pt>
                <c:pt idx="38">
                  <c:v>1</c:v>
                </c:pt>
                <c:pt idx="39">
                  <c:v>6</c:v>
                </c:pt>
                <c:pt idx="40">
                  <c:v>-4</c:v>
                </c:pt>
                <c:pt idx="41">
                  <c:v>4</c:v>
                </c:pt>
                <c:pt idx="42">
                  <c:v>7</c:v>
                </c:pt>
                <c:pt idx="43">
                  <c:v>4</c:v>
                </c:pt>
                <c:pt idx="44">
                  <c:v>3</c:v>
                </c:pt>
                <c:pt idx="45">
                  <c:v>0</c:v>
                </c:pt>
                <c:pt idx="46">
                  <c:v>4.9347826086956523</c:v>
                </c:pt>
                <c:pt idx="47">
                  <c:v>-1</c:v>
                </c:pt>
              </c:numCache>
            </c:numRef>
          </c:xVal>
          <c:yVal>
            <c:numRef>
              <c:f>eval_tasks_per_protocol_scibert!$E$2:$E$51</c:f>
              <c:numCache>
                <c:formatCode>General</c:formatCode>
                <c:ptCount val="50"/>
                <c:pt idx="0">
                  <c:v>0.57140000000000002</c:v>
                </c:pt>
                <c:pt idx="1">
                  <c:v>1</c:v>
                </c:pt>
                <c:pt idx="2">
                  <c:v>0.33329999999999999</c:v>
                </c:pt>
                <c:pt idx="3">
                  <c:v>1</c:v>
                </c:pt>
                <c:pt idx="4">
                  <c:v>0.33329999999999999</c:v>
                </c:pt>
                <c:pt idx="5">
                  <c:v>0.25</c:v>
                </c:pt>
                <c:pt idx="6">
                  <c:v>0.25</c:v>
                </c:pt>
                <c:pt idx="7">
                  <c:v>0.33329999999999999</c:v>
                </c:pt>
                <c:pt idx="8">
                  <c:v>0.41670000000000001</c:v>
                </c:pt>
                <c:pt idx="9">
                  <c:v>0.5</c:v>
                </c:pt>
                <c:pt idx="10">
                  <c:v>0.57140000000000002</c:v>
                </c:pt>
                <c:pt idx="11">
                  <c:v>1</c:v>
                </c:pt>
                <c:pt idx="12">
                  <c:v>1</c:v>
                </c:pt>
                <c:pt idx="13">
                  <c:v>0.18179999999999999</c:v>
                </c:pt>
                <c:pt idx="14">
                  <c:v>0.41670000000000001</c:v>
                </c:pt>
                <c:pt idx="15">
                  <c:v>0.6</c:v>
                </c:pt>
                <c:pt idx="16">
                  <c:v>0.41670000000000001</c:v>
                </c:pt>
                <c:pt idx="17">
                  <c:v>0.7</c:v>
                </c:pt>
                <c:pt idx="18">
                  <c:v>0.66669999999999996</c:v>
                </c:pt>
                <c:pt idx="19">
                  <c:v>0.33329999999999999</c:v>
                </c:pt>
                <c:pt idx="20">
                  <c:v>0.72729999999999995</c:v>
                </c:pt>
                <c:pt idx="21">
                  <c:v>0.5</c:v>
                </c:pt>
                <c:pt idx="22">
                  <c:v>0.66669999999999996</c:v>
                </c:pt>
                <c:pt idx="23">
                  <c:v>0.3</c:v>
                </c:pt>
                <c:pt idx="24">
                  <c:v>0.2727</c:v>
                </c:pt>
                <c:pt idx="25">
                  <c:v>0.3</c:v>
                </c:pt>
                <c:pt idx="26">
                  <c:v>0.42859999999999998</c:v>
                </c:pt>
                <c:pt idx="27">
                  <c:v>0.25</c:v>
                </c:pt>
                <c:pt idx="28">
                  <c:v>0.25</c:v>
                </c:pt>
                <c:pt idx="29">
                  <c:v>0.33329999999999999</c:v>
                </c:pt>
                <c:pt idx="30">
                  <c:v>0.36359999999999998</c:v>
                </c:pt>
                <c:pt idx="31">
                  <c:v>0.2727</c:v>
                </c:pt>
                <c:pt idx="32">
                  <c:v>0.25</c:v>
                </c:pt>
                <c:pt idx="33">
                  <c:v>0.33329999999999999</c:v>
                </c:pt>
                <c:pt idx="34">
                  <c:v>0.66669999999999996</c:v>
                </c:pt>
                <c:pt idx="35">
                  <c:v>0.44440000000000002</c:v>
                </c:pt>
                <c:pt idx="36">
                  <c:v>0.5</c:v>
                </c:pt>
                <c:pt idx="37">
                  <c:v>0.41670000000000001</c:v>
                </c:pt>
                <c:pt idx="38">
                  <c:v>0.81820000000000004</c:v>
                </c:pt>
                <c:pt idx="39">
                  <c:v>0.5</c:v>
                </c:pt>
                <c:pt idx="40">
                  <c:v>1</c:v>
                </c:pt>
                <c:pt idx="41">
                  <c:v>0.6</c:v>
                </c:pt>
                <c:pt idx="42">
                  <c:v>0.41670000000000001</c:v>
                </c:pt>
                <c:pt idx="43">
                  <c:v>0.55559999999999998</c:v>
                </c:pt>
                <c:pt idx="44">
                  <c:v>0.75</c:v>
                </c:pt>
                <c:pt idx="45">
                  <c:v>0.875</c:v>
                </c:pt>
                <c:pt idx="46">
                  <c:v>0.51448043478260874</c:v>
                </c:pt>
                <c:pt idx="47">
                  <c:v>1</c:v>
                </c:pt>
                <c:pt idx="48">
                  <c:v>0.18179999999999999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2-AF44-BCA1-51895F00D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7383968"/>
        <c:axId val="1647385680"/>
      </c:scatterChart>
      <c:valAx>
        <c:axId val="164738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7385680"/>
        <c:crosses val="autoZero"/>
        <c:crossBetween val="midCat"/>
      </c:valAx>
      <c:valAx>
        <c:axId val="16473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738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eval_tasks_per_protocol_scibert!$F$1</c:f>
              <c:strCache>
                <c:ptCount val="1"/>
                <c:pt idx="0">
                  <c:v>recall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eval_tasks_per_protocol_scibert!$D$2:$D$51</c:f>
              <c:numCache>
                <c:formatCode>General</c:formatCode>
                <c:ptCount val="50"/>
                <c:pt idx="0">
                  <c:v>2</c:v>
                </c:pt>
                <c:pt idx="1">
                  <c:v>-1</c:v>
                </c:pt>
                <c:pt idx="2">
                  <c:v>6</c:v>
                </c:pt>
                <c:pt idx="3">
                  <c:v>0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3</c:v>
                </c:pt>
                <c:pt idx="11">
                  <c:v>-4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4</c:v>
                </c:pt>
                <c:pt idx="19">
                  <c:v>8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7</c:v>
                </c:pt>
                <c:pt idx="24">
                  <c:v>8</c:v>
                </c:pt>
                <c:pt idx="25">
                  <c:v>7</c:v>
                </c:pt>
                <c:pt idx="26">
                  <c:v>4</c:v>
                </c:pt>
                <c:pt idx="27">
                  <c:v>6</c:v>
                </c:pt>
                <c:pt idx="28">
                  <c:v>9</c:v>
                </c:pt>
                <c:pt idx="29">
                  <c:v>8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8</c:v>
                </c:pt>
                <c:pt idx="34">
                  <c:v>4</c:v>
                </c:pt>
                <c:pt idx="35">
                  <c:v>5</c:v>
                </c:pt>
                <c:pt idx="36">
                  <c:v>4</c:v>
                </c:pt>
                <c:pt idx="37">
                  <c:v>7</c:v>
                </c:pt>
                <c:pt idx="38">
                  <c:v>1</c:v>
                </c:pt>
                <c:pt idx="39">
                  <c:v>6</c:v>
                </c:pt>
                <c:pt idx="40">
                  <c:v>-4</c:v>
                </c:pt>
                <c:pt idx="41">
                  <c:v>4</c:v>
                </c:pt>
                <c:pt idx="42">
                  <c:v>7</c:v>
                </c:pt>
                <c:pt idx="43">
                  <c:v>4</c:v>
                </c:pt>
                <c:pt idx="44">
                  <c:v>3</c:v>
                </c:pt>
                <c:pt idx="45">
                  <c:v>0</c:v>
                </c:pt>
                <c:pt idx="46">
                  <c:v>4.9347826086956523</c:v>
                </c:pt>
                <c:pt idx="47">
                  <c:v>-1</c:v>
                </c:pt>
              </c:numCache>
            </c:numRef>
          </c:xVal>
          <c:yVal>
            <c:numRef>
              <c:f>eval_tasks_per_protocol_scibert!$F$2:$F$51</c:f>
              <c:numCache>
                <c:formatCode>General</c:formatCode>
                <c:ptCount val="50"/>
                <c:pt idx="0">
                  <c:v>0.8</c:v>
                </c:pt>
                <c:pt idx="1">
                  <c:v>0.83330000000000004</c:v>
                </c:pt>
                <c:pt idx="2">
                  <c:v>0.66669999999999996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0.69230000000000003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0.83330000000000004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0.9</c:v>
                </c:pt>
                <c:pt idx="39">
                  <c:v>1</c:v>
                </c:pt>
                <c:pt idx="40">
                  <c:v>0.66669999999999996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0.875</c:v>
                </c:pt>
                <c:pt idx="46">
                  <c:v>0.96233260869565218</c:v>
                </c:pt>
                <c:pt idx="47">
                  <c:v>1</c:v>
                </c:pt>
                <c:pt idx="48">
                  <c:v>0.66669999999999996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C-6F44-9ACB-6CADDF705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086656"/>
        <c:axId val="1641088368"/>
      </c:scatterChart>
      <c:valAx>
        <c:axId val="16410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1088368"/>
        <c:crosses val="autoZero"/>
        <c:crossBetween val="midCat"/>
      </c:valAx>
      <c:valAx>
        <c:axId val="164108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108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eval_tasks_per_protocol_scibert!$G$1</c:f>
              <c:strCache>
                <c:ptCount val="1"/>
                <c:pt idx="0">
                  <c:v>f1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7817147856517939E-3"/>
                  <c:y val="-0.208589967920676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eval_tasks_per_protocol_scibert!$D$2:$D$51</c:f>
              <c:numCache>
                <c:formatCode>General</c:formatCode>
                <c:ptCount val="50"/>
                <c:pt idx="0">
                  <c:v>2</c:v>
                </c:pt>
                <c:pt idx="1">
                  <c:v>-1</c:v>
                </c:pt>
                <c:pt idx="2">
                  <c:v>6</c:v>
                </c:pt>
                <c:pt idx="3">
                  <c:v>0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3</c:v>
                </c:pt>
                <c:pt idx="11">
                  <c:v>-4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4</c:v>
                </c:pt>
                <c:pt idx="19">
                  <c:v>8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7</c:v>
                </c:pt>
                <c:pt idx="24">
                  <c:v>8</c:v>
                </c:pt>
                <c:pt idx="25">
                  <c:v>7</c:v>
                </c:pt>
                <c:pt idx="26">
                  <c:v>4</c:v>
                </c:pt>
                <c:pt idx="27">
                  <c:v>6</c:v>
                </c:pt>
                <c:pt idx="28">
                  <c:v>9</c:v>
                </c:pt>
                <c:pt idx="29">
                  <c:v>8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8</c:v>
                </c:pt>
                <c:pt idx="34">
                  <c:v>4</c:v>
                </c:pt>
                <c:pt idx="35">
                  <c:v>5</c:v>
                </c:pt>
                <c:pt idx="36">
                  <c:v>4</c:v>
                </c:pt>
                <c:pt idx="37">
                  <c:v>7</c:v>
                </c:pt>
                <c:pt idx="38">
                  <c:v>1</c:v>
                </c:pt>
                <c:pt idx="39">
                  <c:v>6</c:v>
                </c:pt>
                <c:pt idx="40">
                  <c:v>-4</c:v>
                </c:pt>
                <c:pt idx="41">
                  <c:v>4</c:v>
                </c:pt>
                <c:pt idx="42">
                  <c:v>7</c:v>
                </c:pt>
                <c:pt idx="43">
                  <c:v>4</c:v>
                </c:pt>
                <c:pt idx="44">
                  <c:v>3</c:v>
                </c:pt>
                <c:pt idx="45">
                  <c:v>0</c:v>
                </c:pt>
                <c:pt idx="46">
                  <c:v>4.9347826086956523</c:v>
                </c:pt>
                <c:pt idx="47">
                  <c:v>-1</c:v>
                </c:pt>
              </c:numCache>
            </c:numRef>
          </c:xVal>
          <c:yVal>
            <c:numRef>
              <c:f>eval_tasks_per_protocol_scibert!$G$2:$G$51</c:f>
              <c:numCache>
                <c:formatCode>General</c:formatCode>
                <c:ptCount val="50"/>
                <c:pt idx="0">
                  <c:v>0.66669999999999996</c:v>
                </c:pt>
                <c:pt idx="1">
                  <c:v>0.90910000000000002</c:v>
                </c:pt>
                <c:pt idx="2">
                  <c:v>0.44440000000000002</c:v>
                </c:pt>
                <c:pt idx="3">
                  <c:v>1</c:v>
                </c:pt>
                <c:pt idx="4">
                  <c:v>0.5</c:v>
                </c:pt>
                <c:pt idx="5">
                  <c:v>0.4</c:v>
                </c:pt>
                <c:pt idx="6">
                  <c:v>0.4</c:v>
                </c:pt>
                <c:pt idx="7">
                  <c:v>0.5</c:v>
                </c:pt>
                <c:pt idx="8">
                  <c:v>0.58819999999999995</c:v>
                </c:pt>
                <c:pt idx="9">
                  <c:v>0.66669999999999996</c:v>
                </c:pt>
                <c:pt idx="10">
                  <c:v>0.72729999999999995</c:v>
                </c:pt>
                <c:pt idx="11">
                  <c:v>0.81820000000000004</c:v>
                </c:pt>
                <c:pt idx="12">
                  <c:v>1</c:v>
                </c:pt>
                <c:pt idx="13">
                  <c:v>0.30769999999999997</c:v>
                </c:pt>
                <c:pt idx="14">
                  <c:v>0.58819999999999995</c:v>
                </c:pt>
                <c:pt idx="15">
                  <c:v>0.75</c:v>
                </c:pt>
                <c:pt idx="16">
                  <c:v>0.58819999999999995</c:v>
                </c:pt>
                <c:pt idx="17">
                  <c:v>0.82350000000000001</c:v>
                </c:pt>
                <c:pt idx="18">
                  <c:v>0.8</c:v>
                </c:pt>
                <c:pt idx="19">
                  <c:v>0.5</c:v>
                </c:pt>
                <c:pt idx="20">
                  <c:v>0.84209999999999996</c:v>
                </c:pt>
                <c:pt idx="21">
                  <c:v>0.625</c:v>
                </c:pt>
                <c:pt idx="22">
                  <c:v>0.8</c:v>
                </c:pt>
                <c:pt idx="23">
                  <c:v>0.46150000000000002</c:v>
                </c:pt>
                <c:pt idx="24">
                  <c:v>0.42859999999999998</c:v>
                </c:pt>
                <c:pt idx="25">
                  <c:v>0.46150000000000002</c:v>
                </c:pt>
                <c:pt idx="26">
                  <c:v>0.6</c:v>
                </c:pt>
                <c:pt idx="27">
                  <c:v>0.4</c:v>
                </c:pt>
                <c:pt idx="28">
                  <c:v>0.4</c:v>
                </c:pt>
                <c:pt idx="29">
                  <c:v>0.5</c:v>
                </c:pt>
                <c:pt idx="30">
                  <c:v>0.5333</c:v>
                </c:pt>
                <c:pt idx="31">
                  <c:v>0.42859999999999998</c:v>
                </c:pt>
                <c:pt idx="32">
                  <c:v>0.4</c:v>
                </c:pt>
                <c:pt idx="33">
                  <c:v>0.5</c:v>
                </c:pt>
                <c:pt idx="34">
                  <c:v>0.8</c:v>
                </c:pt>
                <c:pt idx="35">
                  <c:v>0.61539999999999995</c:v>
                </c:pt>
                <c:pt idx="36">
                  <c:v>0.66669999999999996</c:v>
                </c:pt>
                <c:pt idx="37">
                  <c:v>0.58819999999999995</c:v>
                </c:pt>
                <c:pt idx="38">
                  <c:v>0.85709999999999997</c:v>
                </c:pt>
                <c:pt idx="39">
                  <c:v>0.66669999999999996</c:v>
                </c:pt>
                <c:pt idx="40">
                  <c:v>0.8</c:v>
                </c:pt>
                <c:pt idx="41">
                  <c:v>0.75</c:v>
                </c:pt>
                <c:pt idx="42">
                  <c:v>0.58819999999999995</c:v>
                </c:pt>
                <c:pt idx="43">
                  <c:v>0.71430000000000005</c:v>
                </c:pt>
                <c:pt idx="44">
                  <c:v>0.85709999999999997</c:v>
                </c:pt>
                <c:pt idx="45">
                  <c:v>0.875</c:v>
                </c:pt>
                <c:pt idx="46">
                  <c:v>0.63342391304347823</c:v>
                </c:pt>
                <c:pt idx="47">
                  <c:v>1</c:v>
                </c:pt>
                <c:pt idx="48">
                  <c:v>0.30769999999999997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B5-AF4A-AF2E-C40C0B1C3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642960"/>
        <c:axId val="237630448"/>
      </c:scatterChart>
      <c:valAx>
        <c:axId val="23764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delta(num_pred-num_gold)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7630448"/>
        <c:crosses val="autoZero"/>
        <c:crossBetween val="midCat"/>
      </c:valAx>
      <c:valAx>
        <c:axId val="23763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764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69850</xdr:colOff>
      <xdr:row>4</xdr:row>
      <xdr:rowOff>69850</xdr:rowOff>
    </xdr:from>
    <xdr:to>
      <xdr:col>12</xdr:col>
      <xdr:colOff>831850</xdr:colOff>
      <xdr:row>16</xdr:row>
      <xdr:rowOff>69850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44AAF28-6877-39E3-0D09-64FAA7899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946150</xdr:colOff>
      <xdr:row>17</xdr:row>
      <xdr:rowOff>209550</xdr:rowOff>
    </xdr:from>
    <xdr:to>
      <xdr:col>12</xdr:col>
      <xdr:colOff>755650</xdr:colOff>
      <xdr:row>29</xdr:row>
      <xdr:rowOff>209550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613F167-32EF-74A9-223E-0FEC59008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895350</xdr:colOff>
      <xdr:row>30</xdr:row>
      <xdr:rowOff>158750</xdr:rowOff>
    </xdr:from>
    <xdr:to>
      <xdr:col>12</xdr:col>
      <xdr:colOff>704850</xdr:colOff>
      <xdr:row>42</xdr:row>
      <xdr:rowOff>158750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D889092-0D29-74B4-68EF-0DD9F1E51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CDF9-4FBE-E248-B2DB-E1E7EAF8E1D4}">
  <dimension ref="A1:G50"/>
  <sheetViews>
    <sheetView tabSelected="1" topLeftCell="A12" workbookViewId="0">
      <selection activeCell="J46" sqref="J46"/>
    </sheetView>
  </sheetViews>
  <sheetFormatPr baseColWidth="10" defaultRowHeight="18"/>
  <cols>
    <col min="1" max="1" width="25.140625" customWidth="1"/>
    <col min="4" max="4" width="16.5703125" customWidth="1"/>
  </cols>
  <sheetData>
    <row r="1" spans="1:7">
      <c r="A1" t="s">
        <v>0</v>
      </c>
      <c r="B1" t="s">
        <v>1</v>
      </c>
      <c r="C1" t="s">
        <v>2</v>
      </c>
      <c r="D1" t="s">
        <v>51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5</v>
      </c>
      <c r="C2">
        <v>7</v>
      </c>
      <c r="D2">
        <f>C2-B2</f>
        <v>2</v>
      </c>
      <c r="E2">
        <v>0.57140000000000002</v>
      </c>
      <c r="F2">
        <v>0.8</v>
      </c>
      <c r="G2">
        <v>0.66669999999999996</v>
      </c>
    </row>
    <row r="3" spans="1:7">
      <c r="A3" t="s">
        <v>7</v>
      </c>
      <c r="B3">
        <v>6</v>
      </c>
      <c r="C3">
        <v>5</v>
      </c>
      <c r="D3">
        <f t="shared" ref="D3:D49" si="0">C3-B3</f>
        <v>-1</v>
      </c>
      <c r="E3">
        <v>1</v>
      </c>
      <c r="F3">
        <v>0.83330000000000004</v>
      </c>
      <c r="G3">
        <v>0.90910000000000002</v>
      </c>
    </row>
    <row r="4" spans="1:7">
      <c r="A4" t="s">
        <v>8</v>
      </c>
      <c r="B4">
        <v>6</v>
      </c>
      <c r="C4">
        <v>12</v>
      </c>
      <c r="D4">
        <f t="shared" si="0"/>
        <v>6</v>
      </c>
      <c r="E4">
        <v>0.33329999999999999</v>
      </c>
      <c r="F4">
        <v>0.66669999999999996</v>
      </c>
      <c r="G4">
        <v>0.44440000000000002</v>
      </c>
    </row>
    <row r="5" spans="1:7">
      <c r="A5" t="s">
        <v>9</v>
      </c>
      <c r="B5">
        <v>6</v>
      </c>
      <c r="C5">
        <v>6</v>
      </c>
      <c r="D5">
        <f t="shared" si="0"/>
        <v>0</v>
      </c>
      <c r="E5">
        <v>1</v>
      </c>
      <c r="F5">
        <v>1</v>
      </c>
      <c r="G5">
        <v>1</v>
      </c>
    </row>
    <row r="6" spans="1:7">
      <c r="A6" t="s">
        <v>10</v>
      </c>
      <c r="B6">
        <v>4</v>
      </c>
      <c r="C6">
        <v>12</v>
      </c>
      <c r="D6">
        <f t="shared" si="0"/>
        <v>8</v>
      </c>
      <c r="E6">
        <v>0.33329999999999999</v>
      </c>
      <c r="F6">
        <v>1</v>
      </c>
      <c r="G6">
        <v>0.5</v>
      </c>
    </row>
    <row r="7" spans="1:7">
      <c r="A7" t="s">
        <v>11</v>
      </c>
      <c r="B7">
        <v>3</v>
      </c>
      <c r="C7">
        <v>12</v>
      </c>
      <c r="D7">
        <f t="shared" si="0"/>
        <v>9</v>
      </c>
      <c r="E7">
        <v>0.25</v>
      </c>
      <c r="F7">
        <v>1</v>
      </c>
      <c r="G7">
        <v>0.4</v>
      </c>
    </row>
    <row r="8" spans="1:7">
      <c r="A8" t="s">
        <v>12</v>
      </c>
      <c r="B8">
        <v>3</v>
      </c>
      <c r="C8">
        <v>12</v>
      </c>
      <c r="D8">
        <f t="shared" si="0"/>
        <v>9</v>
      </c>
      <c r="E8">
        <v>0.25</v>
      </c>
      <c r="F8">
        <v>1</v>
      </c>
      <c r="G8">
        <v>0.4</v>
      </c>
    </row>
    <row r="9" spans="1:7">
      <c r="A9" t="s">
        <v>13</v>
      </c>
      <c r="B9">
        <v>4</v>
      </c>
      <c r="C9">
        <v>12</v>
      </c>
      <c r="D9">
        <f t="shared" si="0"/>
        <v>8</v>
      </c>
      <c r="E9">
        <v>0.33329999999999999</v>
      </c>
      <c r="F9">
        <v>1</v>
      </c>
      <c r="G9">
        <v>0.5</v>
      </c>
    </row>
    <row r="10" spans="1:7">
      <c r="A10" t="s">
        <v>14</v>
      </c>
      <c r="B10">
        <v>5</v>
      </c>
      <c r="C10">
        <v>12</v>
      </c>
      <c r="D10">
        <f t="shared" si="0"/>
        <v>7</v>
      </c>
      <c r="E10">
        <v>0.41670000000000001</v>
      </c>
      <c r="F10">
        <v>1</v>
      </c>
      <c r="G10">
        <v>0.58819999999999995</v>
      </c>
    </row>
    <row r="11" spans="1:7">
      <c r="A11" t="s">
        <v>15</v>
      </c>
      <c r="B11">
        <v>6</v>
      </c>
      <c r="C11">
        <v>12</v>
      </c>
      <c r="D11">
        <f t="shared" si="0"/>
        <v>6</v>
      </c>
      <c r="E11">
        <v>0.5</v>
      </c>
      <c r="F11">
        <v>1</v>
      </c>
      <c r="G11">
        <v>0.66669999999999996</v>
      </c>
    </row>
    <row r="12" spans="1:7">
      <c r="A12" t="s">
        <v>16</v>
      </c>
      <c r="B12">
        <v>4</v>
      </c>
      <c r="C12">
        <v>7</v>
      </c>
      <c r="D12">
        <f t="shared" si="0"/>
        <v>3</v>
      </c>
      <c r="E12">
        <v>0.57140000000000002</v>
      </c>
      <c r="F12">
        <v>1</v>
      </c>
      <c r="G12">
        <v>0.72729999999999995</v>
      </c>
    </row>
    <row r="13" spans="1:7">
      <c r="A13" t="s">
        <v>17</v>
      </c>
      <c r="B13">
        <v>13</v>
      </c>
      <c r="C13">
        <v>9</v>
      </c>
      <c r="D13">
        <f t="shared" si="0"/>
        <v>-4</v>
      </c>
      <c r="E13">
        <v>1</v>
      </c>
      <c r="F13">
        <v>0.69230000000000003</v>
      </c>
      <c r="G13">
        <v>0.81820000000000004</v>
      </c>
    </row>
    <row r="14" spans="1:7">
      <c r="A14" t="s">
        <v>18</v>
      </c>
      <c r="B14">
        <v>7</v>
      </c>
      <c r="C14">
        <v>7</v>
      </c>
      <c r="D14">
        <f t="shared" si="0"/>
        <v>0</v>
      </c>
      <c r="E14">
        <v>1</v>
      </c>
      <c r="F14">
        <v>1</v>
      </c>
      <c r="G14">
        <v>1</v>
      </c>
    </row>
    <row r="15" spans="1:7">
      <c r="A15" t="s">
        <v>19</v>
      </c>
      <c r="B15">
        <v>2</v>
      </c>
      <c r="C15">
        <v>11</v>
      </c>
      <c r="D15">
        <f t="shared" si="0"/>
        <v>9</v>
      </c>
      <c r="E15">
        <v>0.18179999999999999</v>
      </c>
      <c r="F15">
        <v>1</v>
      </c>
      <c r="G15">
        <v>0.30769999999999997</v>
      </c>
    </row>
    <row r="16" spans="1:7">
      <c r="A16" t="s">
        <v>20</v>
      </c>
      <c r="B16">
        <v>5</v>
      </c>
      <c r="C16">
        <v>12</v>
      </c>
      <c r="D16">
        <f t="shared" si="0"/>
        <v>7</v>
      </c>
      <c r="E16">
        <v>0.41670000000000001</v>
      </c>
      <c r="F16">
        <v>1</v>
      </c>
      <c r="G16">
        <v>0.58819999999999995</v>
      </c>
    </row>
    <row r="17" spans="1:7">
      <c r="A17" t="s">
        <v>21</v>
      </c>
      <c r="B17">
        <v>6</v>
      </c>
      <c r="C17">
        <v>10</v>
      </c>
      <c r="D17">
        <f t="shared" si="0"/>
        <v>4</v>
      </c>
      <c r="E17">
        <v>0.6</v>
      </c>
      <c r="F17">
        <v>1</v>
      </c>
      <c r="G17">
        <v>0.75</v>
      </c>
    </row>
    <row r="18" spans="1:7">
      <c r="A18" t="s">
        <v>22</v>
      </c>
      <c r="B18">
        <v>5</v>
      </c>
      <c r="C18">
        <v>12</v>
      </c>
      <c r="D18">
        <f t="shared" si="0"/>
        <v>7</v>
      </c>
      <c r="E18">
        <v>0.41670000000000001</v>
      </c>
      <c r="F18">
        <v>1</v>
      </c>
      <c r="G18">
        <v>0.58819999999999995</v>
      </c>
    </row>
    <row r="19" spans="1:7">
      <c r="A19" t="s">
        <v>23</v>
      </c>
      <c r="B19">
        <v>7</v>
      </c>
      <c r="C19">
        <v>10</v>
      </c>
      <c r="D19">
        <f t="shared" si="0"/>
        <v>3</v>
      </c>
      <c r="E19">
        <v>0.7</v>
      </c>
      <c r="F19">
        <v>1</v>
      </c>
      <c r="G19">
        <v>0.82350000000000001</v>
      </c>
    </row>
    <row r="20" spans="1:7">
      <c r="A20" t="s">
        <v>24</v>
      </c>
      <c r="B20">
        <v>8</v>
      </c>
      <c r="C20">
        <v>12</v>
      </c>
      <c r="D20">
        <f t="shared" si="0"/>
        <v>4</v>
      </c>
      <c r="E20">
        <v>0.66669999999999996</v>
      </c>
      <c r="F20">
        <v>1</v>
      </c>
      <c r="G20">
        <v>0.8</v>
      </c>
    </row>
    <row r="21" spans="1:7">
      <c r="A21" t="s">
        <v>25</v>
      </c>
      <c r="B21">
        <v>4</v>
      </c>
      <c r="C21">
        <v>12</v>
      </c>
      <c r="D21">
        <f t="shared" si="0"/>
        <v>8</v>
      </c>
      <c r="E21">
        <v>0.33329999999999999</v>
      </c>
      <c r="F21">
        <v>1</v>
      </c>
      <c r="G21">
        <v>0.5</v>
      </c>
    </row>
    <row r="22" spans="1:7">
      <c r="A22" t="s">
        <v>26</v>
      </c>
      <c r="B22">
        <v>8</v>
      </c>
      <c r="C22">
        <v>11</v>
      </c>
      <c r="D22">
        <f t="shared" si="0"/>
        <v>3</v>
      </c>
      <c r="E22">
        <v>0.72729999999999995</v>
      </c>
      <c r="F22">
        <v>1</v>
      </c>
      <c r="G22">
        <v>0.84209999999999996</v>
      </c>
    </row>
    <row r="23" spans="1:7">
      <c r="A23" t="s">
        <v>27</v>
      </c>
      <c r="B23">
        <v>6</v>
      </c>
      <c r="C23">
        <v>10</v>
      </c>
      <c r="D23">
        <f t="shared" si="0"/>
        <v>4</v>
      </c>
      <c r="E23">
        <v>0.5</v>
      </c>
      <c r="F23">
        <v>0.83330000000000004</v>
      </c>
      <c r="G23">
        <v>0.625</v>
      </c>
    </row>
    <row r="24" spans="1:7">
      <c r="A24" t="s">
        <v>28</v>
      </c>
      <c r="B24">
        <v>6</v>
      </c>
      <c r="C24">
        <v>9</v>
      </c>
      <c r="D24">
        <f t="shared" si="0"/>
        <v>3</v>
      </c>
      <c r="E24">
        <v>0.66669999999999996</v>
      </c>
      <c r="F24">
        <v>1</v>
      </c>
      <c r="G24">
        <v>0.8</v>
      </c>
    </row>
    <row r="25" spans="1:7">
      <c r="A25" t="s">
        <v>29</v>
      </c>
      <c r="B25">
        <v>3</v>
      </c>
      <c r="C25">
        <v>10</v>
      </c>
      <c r="D25">
        <f t="shared" si="0"/>
        <v>7</v>
      </c>
      <c r="E25">
        <v>0.3</v>
      </c>
      <c r="F25">
        <v>1</v>
      </c>
      <c r="G25">
        <v>0.46150000000000002</v>
      </c>
    </row>
    <row r="26" spans="1:7">
      <c r="A26" t="s">
        <v>30</v>
      </c>
      <c r="B26">
        <v>3</v>
      </c>
      <c r="C26">
        <v>11</v>
      </c>
      <c r="D26">
        <f t="shared" si="0"/>
        <v>8</v>
      </c>
      <c r="E26">
        <v>0.2727</v>
      </c>
      <c r="F26">
        <v>1</v>
      </c>
      <c r="G26">
        <v>0.42859999999999998</v>
      </c>
    </row>
    <row r="27" spans="1:7">
      <c r="A27" t="s">
        <v>31</v>
      </c>
      <c r="B27">
        <v>3</v>
      </c>
      <c r="C27">
        <v>10</v>
      </c>
      <c r="D27">
        <f t="shared" si="0"/>
        <v>7</v>
      </c>
      <c r="E27">
        <v>0.3</v>
      </c>
      <c r="F27">
        <v>1</v>
      </c>
      <c r="G27">
        <v>0.46150000000000002</v>
      </c>
    </row>
    <row r="28" spans="1:7">
      <c r="A28" t="s">
        <v>32</v>
      </c>
      <c r="B28">
        <v>3</v>
      </c>
      <c r="C28">
        <v>7</v>
      </c>
      <c r="D28">
        <f t="shared" si="0"/>
        <v>4</v>
      </c>
      <c r="E28">
        <v>0.42859999999999998</v>
      </c>
      <c r="F28">
        <v>1</v>
      </c>
      <c r="G28">
        <v>0.6</v>
      </c>
    </row>
    <row r="29" spans="1:7">
      <c r="A29" t="s">
        <v>33</v>
      </c>
      <c r="B29">
        <v>2</v>
      </c>
      <c r="C29">
        <v>8</v>
      </c>
      <c r="D29">
        <f t="shared" si="0"/>
        <v>6</v>
      </c>
      <c r="E29">
        <v>0.25</v>
      </c>
      <c r="F29">
        <v>1</v>
      </c>
      <c r="G29">
        <v>0.4</v>
      </c>
    </row>
    <row r="30" spans="1:7">
      <c r="A30" t="s">
        <v>34</v>
      </c>
      <c r="B30">
        <v>3</v>
      </c>
      <c r="C30">
        <v>12</v>
      </c>
      <c r="D30">
        <f t="shared" si="0"/>
        <v>9</v>
      </c>
      <c r="E30">
        <v>0.25</v>
      </c>
      <c r="F30">
        <v>1</v>
      </c>
      <c r="G30">
        <v>0.4</v>
      </c>
    </row>
    <row r="31" spans="1:7">
      <c r="A31" t="s">
        <v>35</v>
      </c>
      <c r="B31">
        <v>4</v>
      </c>
      <c r="C31">
        <v>12</v>
      </c>
      <c r="D31">
        <f t="shared" si="0"/>
        <v>8</v>
      </c>
      <c r="E31">
        <v>0.33329999999999999</v>
      </c>
      <c r="F31">
        <v>1</v>
      </c>
      <c r="G31">
        <v>0.5</v>
      </c>
    </row>
    <row r="32" spans="1:7">
      <c r="A32" t="s">
        <v>36</v>
      </c>
      <c r="B32">
        <v>4</v>
      </c>
      <c r="C32">
        <v>11</v>
      </c>
      <c r="D32">
        <f t="shared" si="0"/>
        <v>7</v>
      </c>
      <c r="E32">
        <v>0.36359999999999998</v>
      </c>
      <c r="F32">
        <v>1</v>
      </c>
      <c r="G32">
        <v>0.5333</v>
      </c>
    </row>
    <row r="33" spans="1:7">
      <c r="A33" t="s">
        <v>37</v>
      </c>
      <c r="B33">
        <v>3</v>
      </c>
      <c r="C33">
        <v>11</v>
      </c>
      <c r="D33">
        <f t="shared" si="0"/>
        <v>8</v>
      </c>
      <c r="E33">
        <v>0.2727</v>
      </c>
      <c r="F33">
        <v>1</v>
      </c>
      <c r="G33">
        <v>0.42859999999999998</v>
      </c>
    </row>
    <row r="34" spans="1:7">
      <c r="A34" t="s">
        <v>52</v>
      </c>
      <c r="B34">
        <v>3</v>
      </c>
      <c r="C34">
        <v>12</v>
      </c>
      <c r="D34">
        <f t="shared" si="0"/>
        <v>9</v>
      </c>
      <c r="E34">
        <v>0.25</v>
      </c>
      <c r="F34">
        <v>1</v>
      </c>
      <c r="G34">
        <v>0.4</v>
      </c>
    </row>
    <row r="35" spans="1:7">
      <c r="A35" t="s">
        <v>38</v>
      </c>
      <c r="B35">
        <v>4</v>
      </c>
      <c r="C35">
        <v>12</v>
      </c>
      <c r="D35">
        <f t="shared" si="0"/>
        <v>8</v>
      </c>
      <c r="E35">
        <v>0.33329999999999999</v>
      </c>
      <c r="F35">
        <v>1</v>
      </c>
      <c r="G35">
        <v>0.5</v>
      </c>
    </row>
    <row r="36" spans="1:7">
      <c r="A36" t="s">
        <v>39</v>
      </c>
      <c r="B36">
        <v>8</v>
      </c>
      <c r="C36">
        <v>12</v>
      </c>
      <c r="D36">
        <f t="shared" si="0"/>
        <v>4</v>
      </c>
      <c r="E36">
        <v>0.66669999999999996</v>
      </c>
      <c r="F36">
        <v>1</v>
      </c>
      <c r="G36">
        <v>0.8</v>
      </c>
    </row>
    <row r="37" spans="1:7">
      <c r="A37" t="s">
        <v>40</v>
      </c>
      <c r="B37">
        <v>4</v>
      </c>
      <c r="C37">
        <v>9</v>
      </c>
      <c r="D37">
        <f t="shared" si="0"/>
        <v>5</v>
      </c>
      <c r="E37">
        <v>0.44440000000000002</v>
      </c>
      <c r="F37">
        <v>1</v>
      </c>
      <c r="G37">
        <v>0.61539999999999995</v>
      </c>
    </row>
    <row r="38" spans="1:7">
      <c r="A38" t="s">
        <v>41</v>
      </c>
      <c r="B38">
        <v>4</v>
      </c>
      <c r="C38">
        <v>8</v>
      </c>
      <c r="D38">
        <f t="shared" si="0"/>
        <v>4</v>
      </c>
      <c r="E38">
        <v>0.5</v>
      </c>
      <c r="F38">
        <v>1</v>
      </c>
      <c r="G38">
        <v>0.66669999999999996</v>
      </c>
    </row>
    <row r="39" spans="1:7">
      <c r="A39" t="s">
        <v>42</v>
      </c>
      <c r="B39">
        <v>5</v>
      </c>
      <c r="C39">
        <v>12</v>
      </c>
      <c r="D39">
        <f t="shared" si="0"/>
        <v>7</v>
      </c>
      <c r="E39">
        <v>0.41670000000000001</v>
      </c>
      <c r="F39">
        <v>1</v>
      </c>
      <c r="G39">
        <v>0.58819999999999995</v>
      </c>
    </row>
    <row r="40" spans="1:7">
      <c r="A40" t="s">
        <v>43</v>
      </c>
      <c r="B40">
        <v>10</v>
      </c>
      <c r="C40">
        <v>11</v>
      </c>
      <c r="D40">
        <f t="shared" si="0"/>
        <v>1</v>
      </c>
      <c r="E40">
        <v>0.81820000000000004</v>
      </c>
      <c r="F40">
        <v>0.9</v>
      </c>
      <c r="G40">
        <v>0.85709999999999997</v>
      </c>
    </row>
    <row r="41" spans="1:7">
      <c r="A41" t="s">
        <v>44</v>
      </c>
      <c r="B41">
        <v>6</v>
      </c>
      <c r="C41">
        <v>12</v>
      </c>
      <c r="D41">
        <f t="shared" si="0"/>
        <v>6</v>
      </c>
      <c r="E41">
        <v>0.5</v>
      </c>
      <c r="F41">
        <v>1</v>
      </c>
      <c r="G41">
        <v>0.66669999999999996</v>
      </c>
    </row>
    <row r="42" spans="1:7">
      <c r="A42" t="s">
        <v>45</v>
      </c>
      <c r="B42">
        <v>12</v>
      </c>
      <c r="C42">
        <v>8</v>
      </c>
      <c r="D42">
        <f t="shared" si="0"/>
        <v>-4</v>
      </c>
      <c r="E42">
        <v>1</v>
      </c>
      <c r="F42">
        <v>0.66669999999999996</v>
      </c>
      <c r="G42">
        <v>0.8</v>
      </c>
    </row>
    <row r="43" spans="1:7">
      <c r="A43" t="s">
        <v>46</v>
      </c>
      <c r="B43">
        <v>6</v>
      </c>
      <c r="C43">
        <v>10</v>
      </c>
      <c r="D43">
        <f t="shared" si="0"/>
        <v>4</v>
      </c>
      <c r="E43">
        <v>0.6</v>
      </c>
      <c r="F43">
        <v>1</v>
      </c>
      <c r="G43">
        <v>0.75</v>
      </c>
    </row>
    <row r="44" spans="1:7">
      <c r="A44" t="s">
        <v>47</v>
      </c>
      <c r="B44">
        <v>5</v>
      </c>
      <c r="C44">
        <v>12</v>
      </c>
      <c r="D44">
        <f t="shared" si="0"/>
        <v>7</v>
      </c>
      <c r="E44">
        <v>0.41670000000000001</v>
      </c>
      <c r="F44">
        <v>1</v>
      </c>
      <c r="G44">
        <v>0.58819999999999995</v>
      </c>
    </row>
    <row r="45" spans="1:7">
      <c r="A45" t="s">
        <v>48</v>
      </c>
      <c r="B45">
        <v>5</v>
      </c>
      <c r="C45">
        <v>9</v>
      </c>
      <c r="D45">
        <f t="shared" si="0"/>
        <v>4</v>
      </c>
      <c r="E45">
        <v>0.55559999999999998</v>
      </c>
      <c r="F45">
        <v>1</v>
      </c>
      <c r="G45">
        <v>0.71430000000000005</v>
      </c>
    </row>
    <row r="46" spans="1:7">
      <c r="A46" t="s">
        <v>49</v>
      </c>
      <c r="B46">
        <v>9</v>
      </c>
      <c r="C46">
        <v>12</v>
      </c>
      <c r="D46">
        <f t="shared" si="0"/>
        <v>3</v>
      </c>
      <c r="E46">
        <v>0.75</v>
      </c>
      <c r="F46">
        <v>1</v>
      </c>
      <c r="G46">
        <v>0.85709999999999997</v>
      </c>
    </row>
    <row r="47" spans="1:7">
      <c r="A47" t="s">
        <v>50</v>
      </c>
      <c r="B47">
        <v>8</v>
      </c>
      <c r="C47">
        <v>8</v>
      </c>
      <c r="D47">
        <f t="shared" si="0"/>
        <v>0</v>
      </c>
      <c r="E47">
        <v>0.875</v>
      </c>
      <c r="F47">
        <v>0.875</v>
      </c>
      <c r="G47">
        <v>0.875</v>
      </c>
    </row>
    <row r="48" spans="1:7">
      <c r="B48">
        <f>AVERAGE(B2:B47)</f>
        <v>5.3478260869565215</v>
      </c>
      <c r="C48">
        <f t="shared" ref="C48:G48" si="1">AVERAGE(C2:C47)</f>
        <v>10.282608695652174</v>
      </c>
      <c r="D48">
        <f t="shared" si="0"/>
        <v>4.9347826086956523</v>
      </c>
      <c r="E48">
        <f t="shared" si="1"/>
        <v>0.51448043478260874</v>
      </c>
      <c r="F48">
        <f t="shared" si="1"/>
        <v>0.96233260869565218</v>
      </c>
      <c r="G48">
        <f t="shared" si="1"/>
        <v>0.63342391304347823</v>
      </c>
    </row>
    <row r="49" spans="2:7">
      <c r="B49">
        <f>MAX(B2:B47)</f>
        <v>13</v>
      </c>
      <c r="C49">
        <f t="shared" ref="C49:G49" si="2">MAX(C2:C47)</f>
        <v>12</v>
      </c>
      <c r="D49">
        <f t="shared" si="0"/>
        <v>-1</v>
      </c>
      <c r="E49">
        <f t="shared" si="2"/>
        <v>1</v>
      </c>
      <c r="F49">
        <f t="shared" si="2"/>
        <v>1</v>
      </c>
      <c r="G49">
        <f t="shared" si="2"/>
        <v>1</v>
      </c>
    </row>
    <row r="50" spans="2:7">
      <c r="B50">
        <f>MIN(B3:B48)</f>
        <v>2</v>
      </c>
      <c r="C50">
        <f t="shared" ref="C50:G50" si="3">MIN(C3:C48)</f>
        <v>5</v>
      </c>
      <c r="E50">
        <f t="shared" si="3"/>
        <v>0.18179999999999999</v>
      </c>
      <c r="F50">
        <f t="shared" si="3"/>
        <v>0.66669999999999996</v>
      </c>
      <c r="G50">
        <f t="shared" si="3"/>
        <v>0.30769999999999997</v>
      </c>
    </row>
  </sheetData>
  <phoneticPr fontId="18" type="noConversion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eval_tasks_per_protocol_scibert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김해빈</dc:creator>
  <cp:lastModifiedBy>김해빈</cp:lastModifiedBy>
  <dcterms:created xsi:type="dcterms:W3CDTF">2025-12-01T11:45:13Z</dcterms:created>
  <dcterms:modified xsi:type="dcterms:W3CDTF">2025-12-01T14:15:41Z</dcterms:modified>
</cp:coreProperties>
</file>